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C:\Users\eleys\OneDrive\Escritorio\PREPARACION INFORME ALTA GERENCIA - PH\matrices\CONJUNTO RESIDENCIAL ABEDUL - PH\"/>
    </mc:Choice>
  </mc:AlternateContent>
  <xr:revisionPtr revIDLastSave="0" documentId="13_ncr:1_{5FEF5B21-30EF-414C-B478-F4B4C5737A50}" xr6:coauthVersionLast="47" xr6:coauthVersionMax="47" xr10:uidLastSave="{00000000-0000-0000-0000-000000000000}"/>
  <bookViews>
    <workbookView xWindow="-120" yWindow="-120" windowWidth="20730" windowHeight="11040" firstSheet="2" activeTab="5" xr2:uid="{00000000-000D-0000-FFFF-FFFF00000000}"/>
  </bookViews>
  <sheets>
    <sheet name="ADMINISTRACIÓN" sheetId="10" r:id="rId1"/>
    <sheet name="SERVICIOS GENERALES" sheetId="17" r:id="rId2"/>
    <sheet name="OPERACIONES" sheetId="13" r:id="rId3"/>
    <sheet name="SEGURIDAD" sheetId="11" r:id="rId4"/>
    <sheet name="PARQUEADERO" sheetId="7" r:id="rId5"/>
    <sheet name="TABLA DE PELIGROS" sheetId="14" r:id="rId6"/>
    <sheet name="METODOLOGÍA" sheetId="12" r:id="rId7"/>
  </sheets>
  <externalReferences>
    <externalReference r:id="rId8"/>
  </externalReferences>
  <definedNames>
    <definedName name="_xlnm._FilterDatabase" localSheetId="0" hidden="1">ADMINISTRACIÓN!$A$9:$AJ$38</definedName>
    <definedName name="_xlnm._FilterDatabase" localSheetId="4" hidden="1">PARQUEADERO!$A$9:$AJ$17</definedName>
    <definedName name="_xlnm.Print_Area" localSheetId="4">PARQUEADERO!$A$1:$AD$16</definedName>
    <definedName name="NIVEL_DE_EXPOSICION">[1]Criterios!$E$8:$E$11</definedName>
    <definedName name="Nivel_de_probabilidad">[1]Criterios!$A$15:$A$18</definedName>
    <definedName name="PELIGROS">'[1]Clasificacion Peligros'!$A$3:$A$9</definedName>
    <definedName name="SIGNIFICADO_NC">[1]Criterios!$G$16:$G$19</definedName>
    <definedName name="SIGNIFICADO_NIVEL_DE_DEFICIENCIA">[1]Criterios!$D$8:$D$11</definedName>
    <definedName name="VALORACION_RIESGO">[1]Criterios!$D$22:$D$25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7" l="1"/>
  <c r="C1" i="11"/>
  <c r="C1" i="13"/>
  <c r="C1" i="17"/>
  <c r="O14" i="17"/>
  <c r="R14" i="17"/>
  <c r="O13" i="17"/>
  <c r="R13" i="17"/>
  <c r="O12" i="17"/>
  <c r="R12" i="17"/>
  <c r="O10" i="17"/>
  <c r="R10" i="17"/>
  <c r="O11" i="17"/>
  <c r="R11" i="17"/>
  <c r="O15" i="17"/>
  <c r="R15" i="17"/>
  <c r="O16" i="17"/>
  <c r="R16" i="17"/>
  <c r="O17" i="17"/>
  <c r="R17" i="17"/>
  <c r="O21" i="10"/>
  <c r="R21" i="10"/>
  <c r="O20" i="10"/>
  <c r="R20" i="10"/>
  <c r="O15" i="11"/>
  <c r="R15" i="11"/>
  <c r="O17" i="11"/>
  <c r="R17" i="11"/>
  <c r="O19" i="11"/>
  <c r="R19" i="11"/>
  <c r="O16" i="11"/>
  <c r="R16" i="11"/>
  <c r="O18" i="11"/>
  <c r="R18" i="11"/>
  <c r="O12" i="11"/>
  <c r="R12" i="11"/>
  <c r="O10" i="11"/>
  <c r="R10" i="11"/>
  <c r="O11" i="11"/>
  <c r="R11" i="11"/>
  <c r="O28" i="13"/>
  <c r="R28" i="13"/>
  <c r="O37" i="13"/>
  <c r="R37" i="13"/>
  <c r="O36" i="13"/>
  <c r="R36" i="13"/>
  <c r="O35" i="13"/>
  <c r="R35" i="13"/>
  <c r="O34" i="13"/>
  <c r="R34" i="13"/>
  <c r="O33" i="13"/>
  <c r="R33" i="13"/>
  <c r="O32" i="13"/>
  <c r="R32" i="13"/>
  <c r="O31" i="13"/>
  <c r="R31" i="13"/>
  <c r="O30" i="13"/>
  <c r="R30" i="13"/>
  <c r="O29" i="13"/>
  <c r="R29" i="13"/>
  <c r="O27" i="13"/>
  <c r="R27" i="13"/>
  <c r="O26" i="13"/>
  <c r="R26" i="13"/>
  <c r="O25" i="13"/>
  <c r="R25" i="13"/>
  <c r="O24" i="13"/>
  <c r="R24" i="13"/>
  <c r="O23" i="13"/>
  <c r="R23" i="13"/>
  <c r="O22" i="13"/>
  <c r="R22" i="13"/>
  <c r="O21" i="13"/>
  <c r="R21" i="13"/>
  <c r="O20" i="13"/>
  <c r="R20" i="13"/>
  <c r="O19" i="13"/>
  <c r="R19" i="13"/>
  <c r="O18" i="13"/>
  <c r="R18" i="13"/>
  <c r="O17" i="13"/>
  <c r="R17" i="13"/>
  <c r="O16" i="13"/>
  <c r="R16" i="13"/>
  <c r="O15" i="13"/>
  <c r="R15" i="13"/>
  <c r="O14" i="13"/>
  <c r="R14" i="13"/>
  <c r="O13" i="13"/>
  <c r="R13" i="13"/>
  <c r="O12" i="13"/>
  <c r="R12" i="13"/>
  <c r="O11" i="13"/>
  <c r="R11" i="13"/>
  <c r="O10" i="13"/>
  <c r="R10" i="13"/>
  <c r="O31" i="10"/>
  <c r="R31" i="10"/>
  <c r="O32" i="10"/>
  <c r="R32" i="10"/>
  <c r="O23" i="11"/>
  <c r="R23" i="11"/>
  <c r="O38" i="10"/>
  <c r="R38" i="10"/>
  <c r="O22" i="11"/>
  <c r="R22" i="11"/>
  <c r="O37" i="10"/>
  <c r="R37" i="10"/>
  <c r="O14" i="11"/>
  <c r="R14" i="11"/>
  <c r="O13" i="11"/>
  <c r="R13" i="11"/>
  <c r="O20" i="11"/>
  <c r="R20" i="11"/>
  <c r="O21" i="11"/>
  <c r="R21" i="11"/>
  <c r="O10" i="10"/>
  <c r="R10" i="10"/>
  <c r="O11" i="10"/>
  <c r="R11" i="10"/>
  <c r="O12" i="10"/>
  <c r="R12" i="10"/>
  <c r="O13" i="10"/>
  <c r="R13" i="10"/>
  <c r="O14" i="10"/>
  <c r="R14" i="10"/>
  <c r="O15" i="10"/>
  <c r="R15" i="10"/>
  <c r="O16" i="10"/>
  <c r="R16" i="10"/>
  <c r="O17" i="10"/>
  <c r="R17" i="10"/>
  <c r="O18" i="10"/>
  <c r="R18" i="10"/>
  <c r="O19" i="10"/>
  <c r="R19" i="10"/>
  <c r="O22" i="10"/>
  <c r="R22" i="10"/>
  <c r="O23" i="10"/>
  <c r="R23" i="10"/>
  <c r="O24" i="10"/>
  <c r="R24" i="10"/>
  <c r="O25" i="10"/>
  <c r="R25" i="10"/>
  <c r="O26" i="10"/>
  <c r="R26" i="10"/>
  <c r="O27" i="10"/>
  <c r="R27" i="10"/>
  <c r="O28" i="10"/>
  <c r="R28" i="10"/>
  <c r="O29" i="10"/>
  <c r="R29" i="10"/>
  <c r="O30" i="10"/>
  <c r="R30" i="10"/>
  <c r="O33" i="10"/>
  <c r="R33" i="10"/>
  <c r="O34" i="10"/>
  <c r="R34" i="10"/>
  <c r="O35" i="10"/>
  <c r="R35" i="10"/>
  <c r="O36" i="10"/>
  <c r="R36" i="10"/>
  <c r="O10" i="7"/>
  <c r="R10" i="7"/>
  <c r="O11" i="7"/>
  <c r="R11" i="7"/>
  <c r="O12" i="7"/>
  <c r="R12" i="7"/>
  <c r="O13" i="7"/>
  <c r="R13" i="7"/>
  <c r="O14" i="7"/>
  <c r="R14" i="7"/>
  <c r="O15" i="7"/>
  <c r="R15" i="7"/>
  <c r="O16" i="7"/>
  <c r="R16" i="7"/>
  <c r="O17" i="7"/>
  <c r="R1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SleekBook</author>
  </authors>
  <commentList>
    <comment ref="M9" authorId="0" shapeId="0" xr:uid="{00000000-0006-0000-0000-000001000000}">
      <text>
        <r>
          <rPr>
            <b/>
            <sz val="9"/>
            <color indexed="81"/>
            <rFont val="Tahoma"/>
            <family val="2"/>
          </rPr>
          <t>SleekBook:</t>
        </r>
        <r>
          <rPr>
            <sz val="9"/>
            <color indexed="81"/>
            <rFont val="Tahoma"/>
            <family val="2"/>
          </rPr>
          <t xml:space="preserve">
NIVEL DE DEFICIENCIA</t>
        </r>
      </text>
    </comment>
    <comment ref="N9" authorId="0" shapeId="0" xr:uid="{00000000-0006-0000-0000-000002000000}">
      <text>
        <r>
          <rPr>
            <b/>
            <sz val="9"/>
            <color indexed="81"/>
            <rFont val="Tahoma"/>
            <family val="2"/>
          </rPr>
          <t>SleekBook:</t>
        </r>
        <r>
          <rPr>
            <sz val="9"/>
            <color indexed="81"/>
            <rFont val="Tahoma"/>
            <family val="2"/>
          </rPr>
          <t xml:space="preserve">
NIVEL DE EXPOSICIÓN</t>
        </r>
      </text>
    </comment>
    <comment ref="O9" authorId="0" shapeId="0" xr:uid="{00000000-0006-0000-0000-000003000000}">
      <text>
        <r>
          <rPr>
            <b/>
            <sz val="9"/>
            <color indexed="81"/>
            <rFont val="Tahoma"/>
            <family val="2"/>
          </rPr>
          <t>SleekBook:</t>
        </r>
        <r>
          <rPr>
            <sz val="9"/>
            <color indexed="81"/>
            <rFont val="Tahoma"/>
            <family val="2"/>
          </rPr>
          <t xml:space="preserve">
NIVEL DE PROBABILIDAD</t>
        </r>
      </text>
    </comment>
    <comment ref="Q9" authorId="0" shapeId="0" xr:uid="{00000000-0006-0000-0000-000004000000}">
      <text>
        <r>
          <rPr>
            <b/>
            <sz val="9"/>
            <color indexed="81"/>
            <rFont val="Tahoma"/>
            <family val="2"/>
          </rPr>
          <t>SleekBook:</t>
        </r>
        <r>
          <rPr>
            <sz val="9"/>
            <color indexed="81"/>
            <rFont val="Tahoma"/>
            <family val="2"/>
          </rPr>
          <t xml:space="preserve">
NIVEL DE CONSECUENCIAS</t>
        </r>
      </text>
    </comment>
    <comment ref="R9" authorId="0" shapeId="0" xr:uid="{00000000-0006-0000-0000-000005000000}">
      <text>
        <r>
          <rPr>
            <b/>
            <sz val="9"/>
            <color indexed="81"/>
            <rFont val="Tahoma"/>
            <family val="2"/>
          </rPr>
          <t>SleekBook:</t>
        </r>
        <r>
          <rPr>
            <sz val="9"/>
            <color indexed="81"/>
            <rFont val="Tahoma"/>
            <family val="2"/>
          </rPr>
          <t xml:space="preserve">
NIVEL DE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9" authorId="0" shapeId="0" xr:uid="{00000000-0006-0000-0100-000001000000}">
      <text>
        <r>
          <rPr>
            <sz val="10"/>
            <color indexed="8"/>
            <rFont val="Arial"/>
            <family val="2"/>
          </rPr>
          <t>SleekBook:
NIVEL DE DEFICIENCIA</t>
        </r>
      </text>
    </comment>
    <comment ref="N9" authorId="0" shapeId="0" xr:uid="{00000000-0006-0000-0100-000002000000}">
      <text>
        <r>
          <rPr>
            <sz val="10"/>
            <color indexed="8"/>
            <rFont val="Arial"/>
            <family val="2"/>
          </rPr>
          <t>SleekBook:
NIVEL DE EXPOSICIÓN</t>
        </r>
      </text>
    </comment>
    <comment ref="O9" authorId="0" shapeId="0" xr:uid="{00000000-0006-0000-0100-000003000000}">
      <text>
        <r>
          <rPr>
            <sz val="10"/>
            <color indexed="8"/>
            <rFont val="Arial"/>
            <family val="2"/>
          </rPr>
          <t>SleekBook:
NIVEL DE PROBABILIDAD</t>
        </r>
      </text>
    </comment>
    <comment ref="Q9" authorId="0" shapeId="0" xr:uid="{00000000-0006-0000-0100-000004000000}">
      <text>
        <r>
          <rPr>
            <sz val="10"/>
            <color indexed="8"/>
            <rFont val="Arial"/>
            <family val="2"/>
          </rPr>
          <t>SleekBook:
NIVEL DE CONSECUENCIAS</t>
        </r>
      </text>
    </comment>
    <comment ref="R9" authorId="0" shapeId="0" xr:uid="{00000000-0006-0000-0100-000005000000}">
      <text>
        <r>
          <rPr>
            <sz val="10"/>
            <color indexed="8"/>
            <rFont val="Arial"/>
            <family val="2"/>
          </rPr>
          <t>SleekBook:
NIVEL DE RIESGO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M9" authorId="0" shapeId="0" xr:uid="{00000000-0006-0000-0200-000001000000}">
      <text>
        <r>
          <rPr>
            <sz val="10"/>
            <color indexed="8"/>
            <rFont val="Arial"/>
            <family val="2"/>
          </rPr>
          <t>SleekBook:
NIVEL DE DEFICIENCIA</t>
        </r>
      </text>
    </comment>
    <comment ref="N9" authorId="0" shapeId="0" xr:uid="{00000000-0006-0000-0200-000002000000}">
      <text>
        <r>
          <rPr>
            <sz val="10"/>
            <color indexed="8"/>
            <rFont val="Arial"/>
            <family val="2"/>
          </rPr>
          <t>SleekBook:
NIVEL DE EXPOSICIÓN</t>
        </r>
      </text>
    </comment>
    <comment ref="O9" authorId="0" shapeId="0" xr:uid="{00000000-0006-0000-0200-000003000000}">
      <text>
        <r>
          <rPr>
            <sz val="10"/>
            <color indexed="8"/>
            <rFont val="Arial"/>
            <family val="2"/>
          </rPr>
          <t>SleekBook:
NIVEL DE PROBABILIDAD</t>
        </r>
      </text>
    </comment>
    <comment ref="Q9" authorId="0" shapeId="0" xr:uid="{00000000-0006-0000-0200-000004000000}">
      <text>
        <r>
          <rPr>
            <sz val="10"/>
            <color indexed="8"/>
            <rFont val="Arial"/>
            <family val="2"/>
          </rPr>
          <t>SleekBook:
NIVEL DE CONSECUENCIAS</t>
        </r>
      </text>
    </comment>
    <comment ref="R9" authorId="0" shapeId="0" xr:uid="{00000000-0006-0000-0200-000005000000}">
      <text>
        <r>
          <rPr>
            <sz val="10"/>
            <color indexed="8"/>
            <rFont val="Arial"/>
            <family val="2"/>
          </rPr>
          <t>SleekBook:
NIVEL DE RIESGO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SleekBook</author>
  </authors>
  <commentList>
    <comment ref="M9" authorId="0" shapeId="0" xr:uid="{00000000-0006-0000-0300-000001000000}">
      <text>
        <r>
          <rPr>
            <b/>
            <sz val="9"/>
            <color indexed="81"/>
            <rFont val="Tahoma"/>
            <family val="2"/>
          </rPr>
          <t>SleekBook:</t>
        </r>
        <r>
          <rPr>
            <sz val="9"/>
            <color indexed="81"/>
            <rFont val="Tahoma"/>
            <family val="2"/>
          </rPr>
          <t xml:space="preserve">
NIVEL DE DEFICIENCIA</t>
        </r>
      </text>
    </comment>
    <comment ref="N9" authorId="0" shapeId="0" xr:uid="{00000000-0006-0000-0300-000002000000}">
      <text>
        <r>
          <rPr>
            <b/>
            <sz val="9"/>
            <color indexed="81"/>
            <rFont val="Tahoma"/>
            <family val="2"/>
          </rPr>
          <t>SleekBook:</t>
        </r>
        <r>
          <rPr>
            <sz val="9"/>
            <color indexed="81"/>
            <rFont val="Tahoma"/>
            <family val="2"/>
          </rPr>
          <t xml:space="preserve">
NIVEL DE EXPOSICIÓN</t>
        </r>
      </text>
    </comment>
    <comment ref="O9" authorId="0" shapeId="0" xr:uid="{00000000-0006-0000-0300-000003000000}">
      <text>
        <r>
          <rPr>
            <b/>
            <sz val="9"/>
            <color indexed="81"/>
            <rFont val="Tahoma"/>
            <family val="2"/>
          </rPr>
          <t>SleekBook:</t>
        </r>
        <r>
          <rPr>
            <sz val="9"/>
            <color indexed="81"/>
            <rFont val="Tahoma"/>
            <family val="2"/>
          </rPr>
          <t xml:space="preserve">
NIVEL DE PROBABILIDAD</t>
        </r>
      </text>
    </comment>
    <comment ref="Q9" authorId="0" shapeId="0" xr:uid="{00000000-0006-0000-0300-000004000000}">
      <text>
        <r>
          <rPr>
            <b/>
            <sz val="9"/>
            <color indexed="81"/>
            <rFont val="Tahoma"/>
            <family val="2"/>
          </rPr>
          <t>SleekBook:</t>
        </r>
        <r>
          <rPr>
            <sz val="9"/>
            <color indexed="81"/>
            <rFont val="Tahoma"/>
            <family val="2"/>
          </rPr>
          <t xml:space="preserve">
NIVEL DE CONSECUENCIAS</t>
        </r>
      </text>
    </comment>
    <comment ref="R9" authorId="0" shapeId="0" xr:uid="{00000000-0006-0000-0300-000005000000}">
      <text>
        <r>
          <rPr>
            <b/>
            <sz val="9"/>
            <color indexed="81"/>
            <rFont val="Tahoma"/>
            <family val="2"/>
          </rPr>
          <t>SleekBook:</t>
        </r>
        <r>
          <rPr>
            <sz val="9"/>
            <color indexed="81"/>
            <rFont val="Tahoma"/>
            <family val="2"/>
          </rPr>
          <t xml:space="preserve">
NIVEL DE RIESGO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SleekBook</author>
  </authors>
  <commentList>
    <comment ref="M9" authorId="0" shapeId="0" xr:uid="{00000000-0006-0000-0400-000001000000}">
      <text>
        <r>
          <rPr>
            <b/>
            <sz val="9"/>
            <color indexed="81"/>
            <rFont val="Tahoma"/>
            <family val="2"/>
          </rPr>
          <t>SleekBook:</t>
        </r>
        <r>
          <rPr>
            <sz val="9"/>
            <color indexed="81"/>
            <rFont val="Tahoma"/>
            <family val="2"/>
          </rPr>
          <t xml:space="preserve">
NIVEL DE DEFICIENCIA</t>
        </r>
      </text>
    </comment>
    <comment ref="N9" authorId="0" shapeId="0" xr:uid="{00000000-0006-0000-0400-000002000000}">
      <text>
        <r>
          <rPr>
            <b/>
            <sz val="9"/>
            <color indexed="81"/>
            <rFont val="Tahoma"/>
            <family val="2"/>
          </rPr>
          <t>SleekBook:</t>
        </r>
        <r>
          <rPr>
            <sz val="9"/>
            <color indexed="81"/>
            <rFont val="Tahoma"/>
            <family val="2"/>
          </rPr>
          <t xml:space="preserve">
NIVEL DE EXPOSICIÓN</t>
        </r>
      </text>
    </comment>
    <comment ref="O9" authorId="0" shapeId="0" xr:uid="{00000000-0006-0000-0400-000003000000}">
      <text>
        <r>
          <rPr>
            <b/>
            <sz val="9"/>
            <color indexed="81"/>
            <rFont val="Tahoma"/>
            <family val="2"/>
          </rPr>
          <t>SleekBook:</t>
        </r>
        <r>
          <rPr>
            <sz val="9"/>
            <color indexed="81"/>
            <rFont val="Tahoma"/>
            <family val="2"/>
          </rPr>
          <t xml:space="preserve">
NIVEL DE PROBABILIDAD</t>
        </r>
      </text>
    </comment>
    <comment ref="Q9" authorId="0" shapeId="0" xr:uid="{00000000-0006-0000-0400-000004000000}">
      <text>
        <r>
          <rPr>
            <b/>
            <sz val="9"/>
            <color indexed="81"/>
            <rFont val="Tahoma"/>
            <family val="2"/>
          </rPr>
          <t>SleekBook:</t>
        </r>
        <r>
          <rPr>
            <sz val="9"/>
            <color indexed="81"/>
            <rFont val="Tahoma"/>
            <family val="2"/>
          </rPr>
          <t xml:space="preserve">
NIVEL DE CONSECUENCIAS</t>
        </r>
      </text>
    </comment>
    <comment ref="R9" authorId="0" shapeId="0" xr:uid="{00000000-0006-0000-0400-000005000000}">
      <text>
        <r>
          <rPr>
            <b/>
            <sz val="9"/>
            <color indexed="81"/>
            <rFont val="Tahoma"/>
            <family val="2"/>
          </rPr>
          <t>SleekBook:</t>
        </r>
        <r>
          <rPr>
            <sz val="9"/>
            <color indexed="81"/>
            <rFont val="Tahoma"/>
            <family val="2"/>
          </rPr>
          <t xml:space="preserve">
NIVEL DE RIESGO</t>
        </r>
      </text>
    </comment>
  </commentList>
</comments>
</file>

<file path=xl/sharedStrings.xml><?xml version="1.0" encoding="utf-8"?>
<sst xmlns="http://schemas.openxmlformats.org/spreadsheetml/2006/main" count="2205" uniqueCount="589">
  <si>
    <t>PROCESO</t>
  </si>
  <si>
    <t>ZONA O LUGAR</t>
  </si>
  <si>
    <t>ACTIVIDADES</t>
  </si>
  <si>
    <t>TAREAS</t>
  </si>
  <si>
    <t>RUTINARIO (SI/NO)</t>
  </si>
  <si>
    <t>PELIGRO</t>
  </si>
  <si>
    <t>EFECTOS POSIBLES</t>
  </si>
  <si>
    <t>CONTROLES EXISTENTES</t>
  </si>
  <si>
    <t>EVALUACION DEL RIESGO</t>
  </si>
  <si>
    <t>VALORACION DEL RIESGO</t>
  </si>
  <si>
    <t xml:space="preserve">CRITERIOS PARA ESTABLECER CONTROLES </t>
  </si>
  <si>
    <t xml:space="preserve">MEDIDAS INTERVENCION </t>
  </si>
  <si>
    <t>DESCRIPCION</t>
  </si>
  <si>
    <t>CLASIFICACION</t>
  </si>
  <si>
    <t>FUENTE</t>
  </si>
  <si>
    <t>MEDIO</t>
  </si>
  <si>
    <t>INDIVIDUO</t>
  </si>
  <si>
    <t>ND</t>
  </si>
  <si>
    <t>NE</t>
  </si>
  <si>
    <t>NP</t>
  </si>
  <si>
    <t>INT.
2</t>
  </si>
  <si>
    <t>NC</t>
  </si>
  <si>
    <t>NR</t>
  </si>
  <si>
    <t>ACEPTABILIDAD DEL RIESGO</t>
  </si>
  <si>
    <t>NUMERO DE EXPUESTOS</t>
  </si>
  <si>
    <t>PEOR CONSECUENCIA</t>
  </si>
  <si>
    <t xml:space="preserve">EXISTENCIA REQUISITO LEGAL ESPECIFICO ASOCIADO SI / NO </t>
  </si>
  <si>
    <t>ELIMINACION</t>
  </si>
  <si>
    <t>SUSTITUCION</t>
  </si>
  <si>
    <t>CONTROL INGENIERIA</t>
  </si>
  <si>
    <t>CONTROL ADMINISTRATIVO</t>
  </si>
  <si>
    <t>ELEMENTOS DE PROTECCION PERSONAL (EPP)</t>
  </si>
  <si>
    <t>SEÑALIZACION</t>
  </si>
  <si>
    <t>SI</t>
  </si>
  <si>
    <t>MEDIO: Es posible que suceda al daño alguna vez (6-8)</t>
  </si>
  <si>
    <t>Situación crítica, Suspender actividades hasta que el riesgo esté bajo control, Intervención urgente. (600-4000)</t>
  </si>
  <si>
    <t>NO ACEPTABLE: Situación Crítica, corrección urgente</t>
  </si>
  <si>
    <t>NO</t>
  </si>
  <si>
    <t>MULTIPLES LESIONES, INCLUSO LA MUERTE</t>
  </si>
  <si>
    <t>BAJO: Poco probable que se materialice (2-4)</t>
  </si>
  <si>
    <t>ALTO: Es posible que suceda varias veces (10-20)</t>
  </si>
  <si>
    <t>No hay</t>
  </si>
  <si>
    <t>Mejorar si es posible, Sería conveniente justificar la inversión y su rentabilidad (40-120)</t>
  </si>
  <si>
    <t>MEJORABLE: Mejorar el control existente</t>
  </si>
  <si>
    <t>Capacitación en el riesgo</t>
  </si>
  <si>
    <t>Corregir y adoptar medicas para el control inmediato (150-500)</t>
  </si>
  <si>
    <t>MUY ALTO: Situación deficiente, con exposición continua. La materialización del riesgo ocurre con frecuencia (24-40)</t>
  </si>
  <si>
    <t>NO ACEPTABLE O ACEPTABLE CON CONTROL ESPECÍFICO: Corregir o adoptar medidas de control</t>
  </si>
  <si>
    <t>BIOMECÁNICOS: Postura prologada o mantenida</t>
  </si>
  <si>
    <t>FENÓMENOS NATURALES: Sismo</t>
  </si>
  <si>
    <t>BIOMECÁNICOS: Movimiento repetitivo</t>
  </si>
  <si>
    <t>CONDICIONES DE SEGURIDAD, ELÉCTRICO: Baja tensión</t>
  </si>
  <si>
    <t xml:space="preserve"> Trabajo continuo en video terminales</t>
  </si>
  <si>
    <t>Movimientos repetitivos de la mano y los dedos</t>
  </si>
  <si>
    <t>NO APLICA</t>
  </si>
  <si>
    <t>Manejo de video terminales</t>
  </si>
  <si>
    <t>Posturas sedente durante la jornada laboral.</t>
  </si>
  <si>
    <t>Lesiones de espalda, lesiones osteomusculares.</t>
  </si>
  <si>
    <t>Capacitación de pausas activas</t>
  </si>
  <si>
    <t xml:space="preserve">Durante la jornada laboral </t>
  </si>
  <si>
    <t>Conexiones en mal estado o deterioradas, instalaciones eléctricas inadecuadas, sobrecarga de los toma corrientes</t>
  </si>
  <si>
    <t>Mantenimiento de redes eléctricas</t>
  </si>
  <si>
    <t>Riesgo eléctrico</t>
  </si>
  <si>
    <t>Capacitación en pausas activas, pausas visuales.
Programa para la gestión de lesiones osteomusculares</t>
  </si>
  <si>
    <t>Capacitación en el riesgo, pausas activas. Programa para la gestión de lesiones osteomusculares</t>
  </si>
  <si>
    <t>Capacitación en el riesgo, Programa de higiene y seguridad industrial.</t>
  </si>
  <si>
    <t>Síndrome del túnel del carpo</t>
  </si>
  <si>
    <t>Instalación de teclado ergonómico</t>
  </si>
  <si>
    <t>Sillas ergonómicas, con apoya brazos, diseño de puesto de trabajo</t>
  </si>
  <si>
    <t>BIOLÓGICO:  Bacterias</t>
  </si>
  <si>
    <t>FÍSICO: Iluminación (luz visible por exceso o deficiencia)</t>
  </si>
  <si>
    <t>Ninguno</t>
  </si>
  <si>
    <t>ACEPTABLE: No intervenir, Salvo que un análisis más preciso lo justifique</t>
  </si>
  <si>
    <t>Psicosocial, Condiciones de la tarea: Contenido de la tarea</t>
  </si>
  <si>
    <t>Capacitación en manejo de estrés</t>
  </si>
  <si>
    <t>Psicosocial, Características de la organización del trabajo: comunicación</t>
  </si>
  <si>
    <t>CONDICIONES DE SEGURIDAD, MECANICO: elementos de máquinas</t>
  </si>
  <si>
    <t>CONDICIONES DE SEGURIDAD: Accidentes de tránsito</t>
  </si>
  <si>
    <t>CONDICIONES DE SEGURIDAD, LOCATIVO: superficies de trabajo con diferencia del nivel</t>
  </si>
  <si>
    <t>CONDICIONES DE SEGURIDAD, LOCATIVO: superficies de trabajo irregularidades.</t>
  </si>
  <si>
    <t>BIOMECÁNICOS: Manipulación manual de cargas</t>
  </si>
  <si>
    <t>Heridas de diferente magnitud
muerte</t>
  </si>
  <si>
    <t>Señalización</t>
  </si>
  <si>
    <t>ninguna</t>
  </si>
  <si>
    <t>ninguno</t>
  </si>
  <si>
    <t>ningunos</t>
  </si>
  <si>
    <t>Lesiones Osteomusculares</t>
  </si>
  <si>
    <t>Si</t>
  </si>
  <si>
    <t>no</t>
  </si>
  <si>
    <t>Generado por comunicación trabajos en equipo</t>
  </si>
  <si>
    <t>Generado por posición inadecuada en la realización de mantenimiento de equipos</t>
  </si>
  <si>
    <t>Generado por el manejo de herramienta de mano
herramienta eléctrica
equipos eléctricos</t>
  </si>
  <si>
    <t xml:space="preserve">Taller
</t>
  </si>
  <si>
    <t>EPP</t>
  </si>
  <si>
    <t>QUÍMICO: Gases y vapores</t>
  </si>
  <si>
    <t>Psicosocial, Jornada de trabajo:  (pausas, rotación, descansos)</t>
  </si>
  <si>
    <t>CONDICIONES DE SEGURIDAD: Trabajo en Alturas</t>
  </si>
  <si>
    <t xml:space="preserve">Infección
</t>
  </si>
  <si>
    <t>golpes, fractura, esquinces</t>
  </si>
  <si>
    <t>Señalización de superficies calientes</t>
  </si>
  <si>
    <t>Aceptable: Mantener las medidas de control existentes pero se deberían considerar soluciones o mejoras y se deben hacer comprobaciones periódicas para asegurar que el riesgo aún es estable. (20)</t>
  </si>
  <si>
    <t xml:space="preserve">Caídas al mismo nivel. Golpes, heridas, traumatismos de diversa gravedad. Desplazamientos por escaleras. Gavetas abiertas. </t>
  </si>
  <si>
    <t>GENERAL</t>
  </si>
  <si>
    <t>Golpes, heridas, traumatismos leves a graves.</t>
  </si>
  <si>
    <t>Golpes, lesiones graves por caídas al mismo y diferente nivel.</t>
  </si>
  <si>
    <t xml:space="preserve">Señalización. Capacitaciones: identificación de actos y condiciones inseguras, autocuidado, inspecciones de seguridad, etc. </t>
  </si>
  <si>
    <t>Lesiones de diversa gravedad, incapacidades.</t>
  </si>
  <si>
    <t>Plan de emergencias, simulacros. Protocolos de seguridad.</t>
  </si>
  <si>
    <t>Validación del estado en el que se encuentran los vehículos (peritaje)</t>
  </si>
  <si>
    <t>CARGO</t>
  </si>
  <si>
    <t>Digitación gestión administrativa</t>
  </si>
  <si>
    <t>Capacitación en pausas activas, estiramiento de manos y dedos, cambio de actividades, recorrido, supervisión, administrativo</t>
  </si>
  <si>
    <t xml:space="preserve"> Trabajo intermitente en equipos de computo</t>
  </si>
  <si>
    <t>Lesiones de espalda</t>
  </si>
  <si>
    <t>Mantenimiento del mobiliario de oficina</t>
  </si>
  <si>
    <t>Generado por la responsabilidad y la diversificación de las labores, premura del tiempo para responder</t>
  </si>
  <si>
    <t>Programa para la Gestión del riesgo psicosocial</t>
  </si>
  <si>
    <t>Cefalea,
problemas gastrointestinales,
Estrés</t>
  </si>
  <si>
    <t>Cefalea, estrés</t>
  </si>
  <si>
    <t>Atención al cliente</t>
  </si>
  <si>
    <t xml:space="preserve"> Cumplimiento de la resolución  002646 DE 2008 desarrollo de  programa  para la gestión del riesgo psicosocial. </t>
  </si>
  <si>
    <t>Actividades de vigilancia y atención el cliente</t>
  </si>
  <si>
    <t>Realizar la carga del equipo.</t>
  </si>
  <si>
    <t>En el momento de conectar el la clavija para realizar la respectiva carga del SEGWAY, puede sufrir una descarga eléctrica, se evidencian fallas en la caja se encuentran sin las respectivas especificaciones técnicas, de conducción y exposición de cables, ubicación y señalización</t>
  </si>
  <si>
    <t>Ninguna</t>
  </si>
  <si>
    <t>Validación del estado en el que se encuentran la motos (peritaje)</t>
  </si>
  <si>
    <t>FÍSICO: Cambio de temperatura</t>
  </si>
  <si>
    <t>Instalación de ventilación artificial sobre el puesto de trabajo</t>
  </si>
  <si>
    <t>Continuar con la rotación de los puestos de trabajo</t>
  </si>
  <si>
    <t>TODO EL PERSONAL INVOLUCRADO EN EL PROCESO DEL PARQUEADERO</t>
  </si>
  <si>
    <t>Reductores de velocidad, señalización de velocidad mínima, señalización de transito</t>
  </si>
  <si>
    <t>Elementos de protección personal, chaleco reflectivo, iluminación adecuada.</t>
  </si>
  <si>
    <t>Todos los vehículos deben ingresar con las luces encendidas.</t>
  </si>
  <si>
    <t>Continuar con el mantenimiento preventivo, limpieza y remplazo de señalización, iluminación, reductores de velocidad, tragaluces.</t>
  </si>
  <si>
    <t>Chaleco-reflectivos</t>
  </si>
  <si>
    <t xml:space="preserve">Continuar con el mantenimiento y limpieza de la señalización </t>
  </si>
  <si>
    <t>Falta de iluminación, por fallas en las redes eléctricas</t>
  </si>
  <si>
    <t>Caídas, golpes, accidentes de transito</t>
  </si>
  <si>
    <t>Mantenimiento de las redes eléctricas internas, unidad de respaldo y planta eléctrica de la instalación</t>
  </si>
  <si>
    <t>señalización de emergencias luminiscentes.</t>
  </si>
  <si>
    <t xml:space="preserve"> Reductores de velocidad, tragaluces.</t>
  </si>
  <si>
    <t>Continuar con el mantenimiento preventivo, limpieza y remplazo de señalización, iluminación.</t>
  </si>
  <si>
    <t>Iluminación</t>
  </si>
  <si>
    <t xml:space="preserve">CONDICIONES DE SEGURIDAD, LOCATIVO: condiciones de almacenamiento. </t>
  </si>
  <si>
    <t>Lesiones de diversa gravedad, incapacidades, incendios, que pueden superar la capacidad de reacción</t>
  </si>
  <si>
    <t>Reubicación de los materiales en zonas diseñadas para este tipo de almacenamiento</t>
  </si>
  <si>
    <t>Restringir el uso de estos espacios a lo diseñado inicialmente o acondicionar a la nueva ocupación y utilidad</t>
  </si>
  <si>
    <t>CONDICIONES DE SEGURIDAD, PUBLICOS: atentados</t>
  </si>
  <si>
    <t>Vigilancia privada, circuito cerrado de televisión</t>
  </si>
  <si>
    <t>Capacitación de brigadas de emergencias, simulacro de evacuación y de emergencias varias</t>
  </si>
  <si>
    <t>Inhalación, Muerte por asfixia</t>
  </si>
  <si>
    <t>Inhalación, Muerte por asfixia.</t>
  </si>
  <si>
    <t>Diseño ergonómico del puesto de trabajo</t>
  </si>
  <si>
    <t xml:space="preserve">Estación de bombeo de agua potable y red contra incendios </t>
  </si>
  <si>
    <t>Inspección, y mantenimiento de las bombas</t>
  </si>
  <si>
    <t>Se presenta humedad en la zona, de estaciones de bombas de agua potable y sistema contra incendios, generando ambientes propicios para la aparición de hongos y otros microorganismo, el personal realiza sus actividades de aseo personal en estos sitios, lo que aumenta la exposición.</t>
  </si>
  <si>
    <t>Capacitación en gestión del riesgo psicosocial, Manual de funciones y responsabilidades, liderazgo y comunicación asertiva</t>
  </si>
  <si>
    <t>Capacitar en manejo de estrés
Aplicación de la batería de riesgo psicolaboral, implementación del programa para la gestión de riesgo psicosocial</t>
  </si>
  <si>
    <t>Durante la atención a clientes, quejas o novedades, se pueden presentar agresiones verbales, incluso físicas</t>
  </si>
  <si>
    <t>Descarga eléctrica, fibrilación ventricular, quemaduras de tercer grado, incluso la muerte</t>
  </si>
  <si>
    <t>Instalar tomacorriente de acuerdo a las normas del Reglamento Técnico de  Instalaciones Eléctricas - Resolución 90708 por la cual se expide el nuevo Reglamento Técnico de Instalaciones Eléctricas</t>
  </si>
  <si>
    <t>Realizar señalización de riego eléctrico</t>
  </si>
  <si>
    <t>Recepción, control y vigilancia de las motos que ingresan al parqueadero</t>
  </si>
  <si>
    <t>Se presentan elevación de la temperatura ambiental en ciertas horas del día</t>
  </si>
  <si>
    <t>Sudoración, estrés térmico, deshidratación leve</t>
  </si>
  <si>
    <t>Concentración de CO2 y demás gases de combustión</t>
  </si>
  <si>
    <t>Mediciones de concentración de gases de combustión, sistemas de extracción de gases</t>
  </si>
  <si>
    <t>Accidente de transito, por desplazamiento por zona de vehículos</t>
  </si>
  <si>
    <t>Capacitaciones en el riesgo</t>
  </si>
  <si>
    <t>Dotación de lámpara</t>
  </si>
  <si>
    <t>En el sótano 2, se encuentra almacenamiento de material POP, y de Navidad, que representa un riesgo locativo como un peligro de incendio por almacenamiento de materiales combustibles como  plástico, y demás adornos de navidad.</t>
  </si>
  <si>
    <t>Garantizar la inspección periódica y el funcionamiento de los sensores de humo y las regaderas del sistema de control de incendios</t>
  </si>
  <si>
    <t>Ubicación geográfica</t>
  </si>
  <si>
    <t>Continuar con programa de inspecciones planeadas</t>
  </si>
  <si>
    <t>Overol PVC, dos piezas</t>
  </si>
  <si>
    <t>Alergias cutáneas y otras
Infecciones</t>
  </si>
  <si>
    <t>Cuarto de bombas de agua potable y red contra incendios</t>
  </si>
  <si>
    <t>Realizar apertura de las válvulas, inspección y mantenimiento periódico</t>
  </si>
  <si>
    <t>CONDICIONES DE SEGURIDAD, LOCATIVO: superficies de trabajo deslizantes.</t>
  </si>
  <si>
    <t>Uso de elementos de protección personal, botas de caucho</t>
  </si>
  <si>
    <t xml:space="preserve">Reparación, inspección y atención a solicitudes de baños, tuberías de locales, entre otros </t>
  </si>
  <si>
    <t>Realizar servicios menores de pintura</t>
  </si>
  <si>
    <t>Generado por manejo de pinturas y solventes</t>
  </si>
  <si>
    <t>intoxicación por inhalación de vapores</t>
  </si>
  <si>
    <t>Intoxicación</t>
  </si>
  <si>
    <t>Realizar el diseño de un programa para la gestión del riesgo químico, que incluya, almacenamiento de acuerdo a la matriz de compatibilidad, elementos de protección personal, disposición de residuos de pinturas, y demás acciones complementarias para la adecuada gestión de productos químicos utilizados, por el proceso de mantenimiento.</t>
  </si>
  <si>
    <t>Garantizar la adecuada ventilación de las zonas donde se realice este trabajo, realizar el almacenamiento de productos químico de acuerdo a la matriz de compatibilidad, instalar estantería y rotulación adecuada según el tipo de producto químico</t>
  </si>
  <si>
    <t>Las indicadas en las hojas de seguridad del fabricante</t>
  </si>
  <si>
    <t>uso obligatorio de elementos de protección personal</t>
  </si>
  <si>
    <t>Realizar la aplicación de soldadura líquida para uniones de PVC, y otros productos</t>
  </si>
  <si>
    <t>Generado por productos químicos utilizados para  la labor</t>
  </si>
  <si>
    <t>Realizar el diseño de un programa para la gestión del riesgo químico, que incluya, almacenamiento de acuerdo a la matriz de compatibilidad, elementos de protección personal, disposición de residuos de químicos, y demás acciones complementarias para la adecuada gestión de productos químicos utilizados, por el proceso de mantenimiento.</t>
  </si>
  <si>
    <t>Durante el desarrollo normal de la labores de mantenimiento</t>
  </si>
  <si>
    <t xml:space="preserve">Jornada de trabajo en horarios rotativos </t>
  </si>
  <si>
    <t>Generado por horarios de trabajo, rotativos y nocturnos</t>
  </si>
  <si>
    <t>Realizar el diseño y la implementación del programa para la gestión del riesgo psicosocial</t>
  </si>
  <si>
    <t>Capacitación en comunicación asertiva</t>
  </si>
  <si>
    <t>Generado por posición inadecuada en la realización tareas de mantenimiento</t>
  </si>
  <si>
    <t>Carritos transportadores</t>
  </si>
  <si>
    <t>Capacitar en riesgos de la actividad y pausas activas</t>
  </si>
  <si>
    <t>Taller o donde se requiera el servicio</t>
  </si>
  <si>
    <t>Mantenimiento de equipo y herramientas</t>
  </si>
  <si>
    <t>Señalización de desniveles, barandas, antideslizantes.</t>
  </si>
  <si>
    <t>Programa de inspecciones planeadas, capacitación en condiciones de riesgo locativo</t>
  </si>
  <si>
    <t>Manejo de herramientas y equipos</t>
  </si>
  <si>
    <t>Generado por el manejo de herramienta de mano, herramienta eléctrica
y equipos en general.</t>
  </si>
  <si>
    <t xml:space="preserve">
Programa de mantenimiento preventivo de equipos
Capacitación en el uso adecuado de herramientas manuales, eléctricas y neumáticas</t>
  </si>
  <si>
    <t>Trabajo en alturas</t>
  </si>
  <si>
    <t>Mantenimiento de áreas,
Cambio de bombillas, instalación y arreglo de tubería en áreas que sobrepasan 1.5 mt</t>
  </si>
  <si>
    <t>Mantenimiento de áreas, reparaciones y mantenimiento en áreas a una altura mayor a 1.5 mt</t>
  </si>
  <si>
    <t>TODO EL PERSONAL INVOLUCRADO EN EL PROCESO DE MANTENIMIENTO</t>
  </si>
  <si>
    <t>Clasificación de residuos aprovechables</t>
  </si>
  <si>
    <t>Durante la manipulación de residuos orgánicos e inorgánicos</t>
  </si>
  <si>
    <t>Infección</t>
  </si>
  <si>
    <t xml:space="preserve">Clasificación de residuos </t>
  </si>
  <si>
    <t xml:space="preserve">Durante la clasificación de residuos se pueden presentar contaminación con elementos cortantes como vidrios </t>
  </si>
  <si>
    <t xml:space="preserve">CONDICIONES DE SEGURIDAD, MECÁNICO: Objetos cortante, agujas u objetos penetrantes </t>
  </si>
  <si>
    <t>contagio de diferente tipo de enfermedades, lesiones por cortes en manos.</t>
  </si>
  <si>
    <t>Contagio de enfermedades varias.</t>
  </si>
  <si>
    <t>Arreglo de materiales reciclables</t>
  </si>
  <si>
    <t xml:space="preserve">Arreglo de materiales reciclables </t>
  </si>
  <si>
    <t xml:space="preserve">Movimientos repetitivo en tareas como arreglo de archivo, cartón y demás reciclables </t>
  </si>
  <si>
    <t>Lesiones de espalda y columna vertebral</t>
  </si>
  <si>
    <t>Clasificación de residuos aprovechables, manipulación de residuos de ingesta o residuos orgánicos</t>
  </si>
  <si>
    <t xml:space="preserve">Arreglo de materiales reciclables, traslado y manipulación de canecas de residuos orgánicos </t>
  </si>
  <si>
    <t>Reporte y cumplimiento de actividades</t>
  </si>
  <si>
    <t>Manejo de aparatos de comunicación.</t>
  </si>
  <si>
    <t>FÍSICO: Radiaciones no ionizantes (láser, ultravioleta infrarroja)</t>
  </si>
  <si>
    <t>Cefalea, Estrés.</t>
  </si>
  <si>
    <t>ADMINISTRACIÓN</t>
  </si>
  <si>
    <t>CONTADORA</t>
  </si>
  <si>
    <t>Labores de Mando y control, por el nivel de responsabilidad</t>
  </si>
  <si>
    <t>Psicosocial, Condiciones de la tarea: Carga mental</t>
  </si>
  <si>
    <t>Capacitación en manejo defensivo</t>
  </si>
  <si>
    <t>Proceso contable, genera demande de concentración y responsabilidad de la labor</t>
  </si>
  <si>
    <t>Gorra y bloqueador solar</t>
  </si>
  <si>
    <t>Solicitud de reporte de cuentas y aclaración sobre responsabilidades</t>
  </si>
  <si>
    <t>Atentado Terrorista.</t>
  </si>
  <si>
    <t>Atentado Terrorista</t>
  </si>
  <si>
    <t>Durante la atención a clientes, quejas o novedades, de los copropietarios y/o arrendatarios.</t>
  </si>
  <si>
    <t>Durante la actividad de mantenimiento y manipulación de las bombas de agua se presentan lugares húmedos</t>
  </si>
  <si>
    <t>Exámenes médicos ocupacionales, programa de medicina preventiva y del trabajo</t>
  </si>
  <si>
    <t>Cortadas, proyección  de partículas  a los ojos, lesiones en manos y diferentes partes del cuerpo</t>
  </si>
  <si>
    <t>Capacitación el  uso adecuado de herramientas manuales, eléctricas y neumáticas</t>
  </si>
  <si>
    <t>Mantenimiento preventivo de equipo y herramientas</t>
  </si>
  <si>
    <t>Desplazamiento al interior de los cuartos, presencia de zonas húmedas donde el trabajador puede resbalar</t>
  </si>
  <si>
    <t>Múltiples lesiones</t>
  </si>
  <si>
    <t>Durante la atención a solicitud de reparaciones de los copropietarios y/o arrendatarios y zonas comunes</t>
  </si>
  <si>
    <t xml:space="preserve">Afectación emocional, fisiológica, falta de concentración, </t>
  </si>
  <si>
    <t>Afectaciones psicológicas, generar accidentes</t>
  </si>
  <si>
    <t>En el uso de productos químicos de plomería, soldadura líquida</t>
  </si>
  <si>
    <t>Capacitación reglamentaria, curso avanzado de trabajo en alturas. Elementos de protección personal, arnés, eslinga, mosquetones y demás.</t>
  </si>
  <si>
    <t>Líneas de vida certificadas
EPP para trabajo en alturas (arnés, casco, líneas de vida)</t>
  </si>
  <si>
    <t>Señalización de superficies calientes, cableado y canaletas eléctricas.
Cinta de seguridad, acordonamiento de la zona de intervención, paso restringido.</t>
  </si>
  <si>
    <t>Compra de pinturas, libres de plomo y componentes tóxicos peligrosos</t>
  </si>
  <si>
    <t xml:space="preserve">Manejo de equipos
Traslado de materiales
</t>
  </si>
  <si>
    <t>Manipulación de equipos como pulidoras, equipos de corte, carpintería, herramienta de mano</t>
  </si>
  <si>
    <t>Manipulación de residuos orgánicos e inorgánicos</t>
  </si>
  <si>
    <t xml:space="preserve">Manejo de cargas, al realizar las diferentes operaciones de clasificación y almacenamiento de los materiales reciclables, muchos se deben levantar del suelo, sobre el nivel de la cintura y algunos arriba a nivel de los hombros </t>
  </si>
  <si>
    <t>Durante la ejecución de las tareas se debe utilizar constantemente el uso de celular y teléfono</t>
  </si>
  <si>
    <t>FÍSICO: Radiaciones no ionizantes (Microondas y ondas de radio)</t>
  </si>
  <si>
    <t>Capacitación en gestión del riesgo y ajustar volumen en los teléfonos.</t>
  </si>
  <si>
    <t>Ajuste al volumen de los teléfonos</t>
  </si>
  <si>
    <t>El transporte se realiza en los vehículos de servicio públicos asignados por la empresa o transporte público taxis</t>
  </si>
  <si>
    <t>Capacitar en manejo de estrés
 Capacitación en el riesgo.
Tamizaje aditivo( Exámenes médicos ocupacionales de ingreso, periódicos y de retiro)</t>
  </si>
  <si>
    <t>La entrega de mensajería se realiza a pie, y en transporte público, lo que en ocasiones representa la exposición ocasional al sol</t>
  </si>
  <si>
    <t>Durante organización de la contabilidad, se deben solicitar informes, reportes, cuentas, soportes a diferentes áreas y personas</t>
  </si>
  <si>
    <t>Capacitar en manejo de estrés
Aplicación de la batería de riesgo psicolaboral, implementación del programa para la gestión de riesgo psicosocial, y poner en gestión el comité de convivencia, se evidencian conflictos interpersonales.</t>
  </si>
  <si>
    <t>MATRIZ DE IDENTIFICACIÓN DE PELIGROS, EVALUACIÓN Y VALORACIÓN DE RIESGOS</t>
  </si>
  <si>
    <t>Inspecciones periódicas de las condiciones de los puestos de trabajo</t>
  </si>
  <si>
    <t>Biologico: Virus</t>
  </si>
  <si>
    <t>Enfermedad Respiratoria - Covid -19</t>
  </si>
  <si>
    <t>No Aplica</t>
  </si>
  <si>
    <t>Protocolos de Bioseguridad</t>
  </si>
  <si>
    <t>NUMERO DE EXPUESTOS
DIRECTOS</t>
  </si>
  <si>
    <t>NUMERO DE EXPUESTOS
TEMPORALES</t>
  </si>
  <si>
    <t>SEÑALIZACIÓN</t>
  </si>
  <si>
    <t>Avisos de Prevención</t>
  </si>
  <si>
    <t>ACTUALIZACIÓN REALIZADA POR</t>
  </si>
  <si>
    <t>Tabla 1. Determinación del Nivel de Deficiencia</t>
  </si>
  <si>
    <t>NIVEL DE DEFICIENCIA</t>
  </si>
  <si>
    <t>VALOR DE ND</t>
  </si>
  <si>
    <t>SIGNIFICADO</t>
  </si>
  <si>
    <t>Muy Alto (MA)</t>
  </si>
  <si>
    <t>Se ha(n) detectado peligro(s) que determina(n) como posible la generación de incidentes o consecuencias muy significativas, o la eficacia del conjunto de medidas preventivas existentes respecto al riesgo es nula o no existente, o ambos.</t>
  </si>
  <si>
    <t>Alto (A)</t>
  </si>
  <si>
    <t>Se ha(n) detectado algún(os) peligro(s) que puedan dar lugar a consecuencias muy significativa(s), o la eficacia del conjunto de medidas preventivas existentes es baja, o ambos.</t>
  </si>
  <si>
    <t>Medio (M)</t>
  </si>
  <si>
    <t>Se han detectado peligros que pueden dar lugar a consecuencias poco significativas o de menor importancia, o la eficacia del conjunto de medidas preventivas existentes es moderada, o ambas.</t>
  </si>
  <si>
    <t>Bajo (B)</t>
  </si>
  <si>
    <t>No se Asigna Valor</t>
  </si>
  <si>
    <t>No se ha detectado consecuencia alguna, o la eficacia del conjunto de medidas preventivas existentes es alta, o ambos. El riesgo está controlado.</t>
  </si>
  <si>
    <t>Tabla 2. Determinación del Nivel de Exposición</t>
  </si>
  <si>
    <t>NIVEL DE EXPOSICIÓN</t>
  </si>
  <si>
    <t>VALOR DE NE</t>
  </si>
  <si>
    <t>Continua (EC)</t>
  </si>
  <si>
    <t>La situación de exposición se presenta sin interrupción o varias veces con tiempo prolongado durante la jornada laboral</t>
  </si>
  <si>
    <t>Frecuente (EF)</t>
  </si>
  <si>
    <t>La situación de exposición se presenta varias veces durante la jornada laboral por tiempos cortos</t>
  </si>
  <si>
    <t>Ocasional (EO)</t>
  </si>
  <si>
    <t>La situación de exposición se presenta alguna vez durante la jornada laboral y por un periodo de tiempo corto</t>
  </si>
  <si>
    <t>Esporádica (EE)</t>
  </si>
  <si>
    <t>La situación de exposición se presenta de manera eventual</t>
  </si>
  <si>
    <t xml:space="preserve">Tabla 3. Determinación Nivel de Probabilidad </t>
  </si>
  <si>
    <t>NIVEL DE PROBABILIDAD</t>
  </si>
  <si>
    <t>NIVEL DE EXPOSICIÓN (NE)</t>
  </si>
  <si>
    <t>NIVEL DE DEFICIENCIA(ND)</t>
  </si>
  <si>
    <t>MA-40</t>
  </si>
  <si>
    <t>MA-30</t>
  </si>
  <si>
    <t>A-20</t>
  </si>
  <si>
    <t>A-10</t>
  </si>
  <si>
    <t>MA-24</t>
  </si>
  <si>
    <t>A-18</t>
  </si>
  <si>
    <t>A-12</t>
  </si>
  <si>
    <t>M-6</t>
  </si>
  <si>
    <t>M-8</t>
  </si>
  <si>
    <t>B-4</t>
  </si>
  <si>
    <t>B-2</t>
  </si>
  <si>
    <t>Tabla 4. Significado de los Diferentes niveles de Probabilidad</t>
  </si>
  <si>
    <t>Entre 40 y 24</t>
  </si>
  <si>
    <t>Situación deficiente con exposición continua, o muy deficiente con exposición frecuente.
Normalmente la materialización del riesgo ocurre con frecuencia.</t>
  </si>
  <si>
    <t>Entre 20 y 10</t>
  </si>
  <si>
    <t>Situación deficiente con exposición frecuente u ocasional, o bien situación muy deficiente con exposición ocasional o esporadica.
La materialización del riesgo es posible que suceda varias veces en la vida laboral.</t>
  </si>
  <si>
    <t>Entre 8 y 6</t>
  </si>
  <si>
    <t>Situación deficiente con exposición esporadica, o bien situación mejorable con exposición continuada o frecuente.
Es posible que suceda el daño alguna vez.</t>
  </si>
  <si>
    <t>Entre 4 y 2</t>
  </si>
  <si>
    <t>Situación mejorable con exposición ocasional o esporádica, o situación sin anomalía destacable con cualquier nivel de exposición.
No es esperable que se materialice el riesgo, aunque puede ser concebible.</t>
  </si>
  <si>
    <t>Tabla 5. Determinación del Nivel de Consecuencias</t>
  </si>
  <si>
    <t>NIVEL DE CONSECUENCIAS</t>
  </si>
  <si>
    <t>SIGNIFICADO
DAÑOS PERSONALES</t>
  </si>
  <si>
    <t>Mortal o Catastrófico (M)</t>
  </si>
  <si>
    <t>Muerte(s)</t>
  </si>
  <si>
    <t>Muy Grave (MG)</t>
  </si>
  <si>
    <t>Lesiones o enfermedades graves irreparables (Incapacidad permanente, parcial o invalidez)</t>
  </si>
  <si>
    <t>Grave(G)</t>
  </si>
  <si>
    <t>Lesiones o enfermedades con incapacidad laboral temporal (ILT)</t>
  </si>
  <si>
    <t>Leve (L)</t>
  </si>
  <si>
    <t>Lesiones o enfermedades que no requieren incapacidad</t>
  </si>
  <si>
    <t>Tabla 6. Determinación del Nivel de Riesgo</t>
  </si>
  <si>
    <t>NIVEL DE RIESGO
NR=NP*NC</t>
  </si>
  <si>
    <t>40-24</t>
  </si>
  <si>
    <t>40-10</t>
  </si>
  <si>
    <r>
      <rPr>
        <sz val="11"/>
        <color indexed="9"/>
        <rFont val="Calibri"/>
        <family val="2"/>
      </rPr>
      <t>´</t>
    </r>
    <r>
      <rPr>
        <sz val="10"/>
        <rFont val="Arial"/>
        <family val="2"/>
      </rPr>
      <t>8-6</t>
    </r>
  </si>
  <si>
    <r>
      <rPr>
        <sz val="11"/>
        <color indexed="9"/>
        <rFont val="Calibri"/>
        <family val="2"/>
      </rPr>
      <t>´</t>
    </r>
    <r>
      <rPr>
        <sz val="10"/>
        <rFont val="Arial"/>
        <family val="2"/>
      </rPr>
      <t>4-2</t>
    </r>
  </si>
  <si>
    <t>NIVEL DE CONSECUENCIAS(NC)</t>
  </si>
  <si>
    <t>I
4000-2400</t>
  </si>
  <si>
    <t>I
2000-1200</t>
  </si>
  <si>
    <t>I
800-600</t>
  </si>
  <si>
    <t>II
400-200</t>
  </si>
  <si>
    <t>I
2400-1440</t>
  </si>
  <si>
    <t>I
1200-600</t>
  </si>
  <si>
    <t>II
480-360</t>
  </si>
  <si>
    <t>II 200</t>
  </si>
  <si>
    <t>III 120</t>
  </si>
  <si>
    <t>I
1000-600</t>
  </si>
  <si>
    <t>II
500-250</t>
  </si>
  <si>
    <t>II
200-150</t>
  </si>
  <si>
    <t>III 
100-50</t>
  </si>
  <si>
    <t>II
400-240</t>
  </si>
  <si>
    <t>III 
80-60</t>
  </si>
  <si>
    <t>III 40</t>
  </si>
  <si>
    <t>III 100</t>
  </si>
  <si>
    <t>IV 20</t>
  </si>
  <si>
    <t>Tabla 7. Significado del Nivel de Riesgo</t>
  </si>
  <si>
    <t>NIVEL DE RIESGO</t>
  </si>
  <si>
    <t>VALOR DEL NR</t>
  </si>
  <si>
    <t>I</t>
  </si>
  <si>
    <t>4000-600</t>
  </si>
  <si>
    <t>Situación crítica. Suspender actividades hasta que el riesgo esté controlado. Intervención Urgente.</t>
  </si>
  <si>
    <t>II</t>
  </si>
  <si>
    <t>500-150</t>
  </si>
  <si>
    <t>Corregir y adoptar medidas de control de inmediaro. Sin embargo suspenda actividades si el nuvel de riesgo está por encima o igual a 360.</t>
  </si>
  <si>
    <t>III</t>
  </si>
  <si>
    <t>120-40</t>
  </si>
  <si>
    <t>Mejorar si es posible. Sería conveniente justificar la intervención y su rentabilidad.</t>
  </si>
  <si>
    <t>IV</t>
  </si>
  <si>
    <t>Mantener las medidas de control existentes, pero se deberían considerar soluciones o mejoras y se deben hacer comprobaciones periódicas para asegurar que él riesgo aún es aceptable.</t>
  </si>
  <si>
    <t>Tabla 8. Aceptabilidad del Riesgo</t>
  </si>
  <si>
    <t>No Aceptable</t>
  </si>
  <si>
    <t>No Aceptable o aceptable con Control Especifico</t>
  </si>
  <si>
    <t>Aceptable</t>
  </si>
  <si>
    <t>Medición ambientales periódicas de Monoxido de Carbono, mantenimiento de los ductos de extracción</t>
  </si>
  <si>
    <t xml:space="preserve">orden y aseo permanente </t>
  </si>
  <si>
    <t>control externo</t>
  </si>
  <si>
    <t>Capacitación el  uso adecuado de herramientas manuales, eléctricas y neumáticas.</t>
  </si>
  <si>
    <t>uso de elementos de elementos de proteccion personal.</t>
  </si>
  <si>
    <t xml:space="preserve">orden y limpiza permanente </t>
  </si>
  <si>
    <t>Durante el desarrollo normal de las  labores de mantenimiento</t>
  </si>
  <si>
    <t>Durante el desarrollo normal de las labores de mantenimiento</t>
  </si>
  <si>
    <t>golpes, fractura, esquinces.</t>
  </si>
  <si>
    <t>lumbalgia, escoliosis agotamiento permanente,desgaste fisico ,tendinitis sindrome del tunel de carpo.</t>
  </si>
  <si>
    <t xml:space="preserve">Mantenimiento de equipo y herramientas </t>
  </si>
  <si>
    <t>Realizar pre operacional diario a la pulidora antes de iniciar labores, después de paros por cambios mantenimientos o cambio de operario. tener buena ventilacion y iliminacion.</t>
  </si>
  <si>
    <t xml:space="preserve">señalizacion y demarcacion el ara de corte. </t>
  </si>
  <si>
    <t>buena iluminacion,senderos peatonales libres de obsatculos.</t>
  </si>
  <si>
    <t>andamios certificados,arnes retractil.eslingas,mosquetones,linea de vida escaleras certificadas.</t>
  </si>
  <si>
    <t xml:space="preserve">ventilacion </t>
  </si>
  <si>
    <t xml:space="preserve"> capacitacion sobre separcion en ala fuente de reisduos solidos guates en caucho, guantes de nitrilo </t>
  </si>
  <si>
    <t>elementos de proteccion personal  Guantes en nitrilo</t>
  </si>
  <si>
    <t>elemtos de proteccion personal  como , guates en caucho, guantes de nitrilo y / carnaza.</t>
  </si>
  <si>
    <t xml:space="preserve">iluminacion  </t>
  </si>
  <si>
    <t xml:space="preserve"> Posturas incorrectas.</t>
  </si>
  <si>
    <t>ayuda mecanica.</t>
  </si>
  <si>
    <t>sistema de recolecion de liquidos contaminados.piso impermeable</t>
  </si>
  <si>
    <t>CAFETERIA</t>
  </si>
  <si>
    <t>BIOMECÁNICOS: Postura prologada o mantenida
Trabajo de pie</t>
  </si>
  <si>
    <t>Lesiones de espalda
Fatiga General</t>
  </si>
  <si>
    <t>Descansos en medio del turno</t>
  </si>
  <si>
    <t>TODO EL PERSONAL INVOLUCRADO EN EL PROCESO DE SEGURIDAD</t>
  </si>
  <si>
    <t xml:space="preserve"> Todos los cargos  parqueaderos</t>
  </si>
  <si>
    <t>Alergias cutáneas
Infecciones,</t>
  </si>
  <si>
    <t xml:space="preserve">OFICINAS ADMINISTRATIVAS </t>
  </si>
  <si>
    <t>Elementos de Protección Personal (Tapabocas)</t>
  </si>
  <si>
    <t>Problemas respiratorios</t>
  </si>
  <si>
    <t>Uso y mantenimiento de los Elementos de Protección Personal (Tapabocas, )</t>
  </si>
  <si>
    <t xml:space="preserve">Capacitaciones especificas sobre los temas de Protocolos de Bioseguridad
</t>
  </si>
  <si>
    <t>MULTIPLES LESIONES,  MUERTE.</t>
  </si>
  <si>
    <t>control de incendios plan  de emergencias brigada de emergencias</t>
  </si>
  <si>
    <t xml:space="preserve">Posibilidad de contagio al virus SARS-coV2, infección respiratoria aguda, enfermedad pulmonar crónica, neumonía </t>
  </si>
  <si>
    <t>BIOLÓGICO</t>
  </si>
  <si>
    <t>FÍSICO</t>
  </si>
  <si>
    <t>QUÍMICO</t>
  </si>
  <si>
    <t>PSICOSOCIAL</t>
  </si>
  <si>
    <t>BIOMECÁNICO</t>
  </si>
  <si>
    <t>Virus</t>
  </si>
  <si>
    <t>Ruido (impacto, intermitente y continuo)</t>
  </si>
  <si>
    <t>Polvos orgánicos e inorgánicos</t>
  </si>
  <si>
    <t>Gestión organizacional (estilo de mando,
pago, contratación, participación,
inducción y capacitación, bienestar
social, evaluación del desempeño,
manejo de cambios)</t>
  </si>
  <si>
    <t xml:space="preserve">Postura (prologada
mantenida, forzada,
antigravitacionales) </t>
  </si>
  <si>
    <t xml:space="preserve">Mecánico (elementos de máquinas, herramientas, piezas a trabajar, materiales proyectados sólidos o fluidos </t>
  </si>
  <si>
    <t>Sismo</t>
  </si>
  <si>
    <t>Bacterias</t>
  </si>
  <si>
    <t>Iluminación (Luz visible por exceso o deficiencia)</t>
  </si>
  <si>
    <t>Fibras</t>
  </si>
  <si>
    <t xml:space="preserve">Características de la organización del
trabajo (comunicación, tecnología,
organización del trabajo, demandas
cualitativas y cuantitativas de la labor </t>
  </si>
  <si>
    <t>Esfuerzo</t>
  </si>
  <si>
    <t>Eléctrico (alta y baja tensión, estática)</t>
  </si>
  <si>
    <t>Terremoro</t>
  </si>
  <si>
    <t>Hongos</t>
  </si>
  <si>
    <t>Vibración (cuerpo entero, segmentaria)</t>
  </si>
  <si>
    <t>Líquidos (Nieblas y rocios)</t>
  </si>
  <si>
    <t xml:space="preserve">Características del grupo social del
trabajo (relaciones, cohesión, calidad de
interacciones, trabajo en equipo </t>
  </si>
  <si>
    <t>Movimiento repetitivo</t>
  </si>
  <si>
    <t xml:space="preserve">Locativo (almacenamiento,
superficies de trabajo (irregularidades, deslizantes, con diferencia del nivel) condiciones de orden y aseo, caídas de objeto) </t>
  </si>
  <si>
    <t>Vendaval</t>
  </si>
  <si>
    <t>Ricketsias</t>
  </si>
  <si>
    <t>Temperaturas extremas (calor y frío)</t>
  </si>
  <si>
    <t>Gases y Vapores</t>
  </si>
  <si>
    <t xml:space="preserve">Condiciones de la tarea (carga mental,
contenido de la tarea, demandas
emocionales, sistemas de control,
definición de roles, monotonía, etc). </t>
  </si>
  <si>
    <t>Manipulación Manual de cargas</t>
  </si>
  <si>
    <t xml:space="preserve">Tecnológico (explosión, fuga,
derrame, incendio) </t>
  </si>
  <si>
    <t>Inundación</t>
  </si>
  <si>
    <t>Parásitos</t>
  </si>
  <si>
    <t>Presión atmosférica (normal y ajustada)</t>
  </si>
  <si>
    <t>Humos metálicos, no metálicos</t>
  </si>
  <si>
    <t xml:space="preserve">Interfase persona tarea (conocimientos,
habilidades con relación a la demanda
de la tarea, iniciativa, autonomía y
reconocimiento, identificación de la
persona con la tarea y la organización </t>
  </si>
  <si>
    <t xml:space="preserve">Accidentes de tránsito </t>
  </si>
  <si>
    <t>Derrumbe</t>
  </si>
  <si>
    <t>CONDICIONESDESEGURIDAD</t>
  </si>
  <si>
    <t>Picaduras</t>
  </si>
  <si>
    <t>Radiaciones ionizantes (rayos x, beta, gama y alfa)</t>
  </si>
  <si>
    <t>Material particulado</t>
  </si>
  <si>
    <t xml:space="preserve">Jornada de trabajo (pausas, trabajo
nocturno, rotación, horas extras,
descansos) </t>
  </si>
  <si>
    <t xml:space="preserve">Públicos (Robos, atracos, asaltos, atentados, desorden público, etc.) </t>
  </si>
  <si>
    <t xml:space="preserve">Precipitaciones,
(lluvias, granizadas, heladas) </t>
  </si>
  <si>
    <t>FENOMENOSNATURALES</t>
  </si>
  <si>
    <t>Mordeduras</t>
  </si>
  <si>
    <t>Radiaciones No ionizantes (láser, ultravioleta, infraroja)</t>
  </si>
  <si>
    <t>Trabajo en Alturas</t>
  </si>
  <si>
    <t>Fluidos o Excrementos</t>
  </si>
  <si>
    <t>Espacios Confinados</t>
  </si>
  <si>
    <t>TABLA DE PELIGROS</t>
  </si>
  <si>
    <t>CONDICIONES DE SEGURIDAD, MECANICO</t>
  </si>
  <si>
    <t xml:space="preserve">Señalizacion, plan de emergencias extintores </t>
  </si>
  <si>
    <t>Todos los cargos</t>
  </si>
  <si>
    <t xml:space="preserve">Direccionamiemto especificas sobre los temas de Protocolos de Bioseguridad de acuerdo a normatividad vigente
</t>
  </si>
  <si>
    <t>Uso y mantenimiento de los Elementos de Protección Personal  expuesto a publico(Tapabocas, )</t>
  </si>
  <si>
    <t>Capacitar en manejo de estrés
 Capacitación en el riesgo.
.</t>
  </si>
  <si>
    <t xml:space="preserve">Orden y aseo </t>
  </si>
  <si>
    <t xml:space="preserve">Manipulación de materiales, equipos, herrameintas. </t>
  </si>
  <si>
    <t xml:space="preserve">Acciendetes presentados </t>
  </si>
  <si>
    <t xml:space="preserve">Guantes, Overol de Trabajo, Lentes de seguridad, tapabocas. </t>
  </si>
  <si>
    <t xml:space="preserve">Ayudas mecanicas como carritos de carga. </t>
  </si>
  <si>
    <t xml:space="preserve">1. Jornadas de Orden y aseo mas seguidas para evitar que se acumulen materiales y residuos. 
2. Charla de identificacion de riesgos y valoracion de impactos. (Reinduccion Corporativa). </t>
  </si>
  <si>
    <t xml:space="preserve">Lesiones Osteomusculares, fracturas, contuciones, golpes, atrapamientos, invalidades o muerte </t>
  </si>
  <si>
    <t xml:space="preserve">Mantenimiento preventivo de equipo y herramientas, Cambio de compactadora con tecnologia de empuje de paca. </t>
  </si>
  <si>
    <t xml:space="preserve">Accidentes presentados </t>
  </si>
  <si>
    <t>CYCLOID TALEN S.A.S</t>
  </si>
  <si>
    <t>ADMINISTRADOR</t>
  </si>
  <si>
    <t>ASISTENTE DE ADMNISTRACION</t>
  </si>
  <si>
    <t>Realizar gestiones de mando y control del la copropiedad y de negocios andino</t>
  </si>
  <si>
    <t>Diferentes actividades gerenciales fuera de las instalaciones del la copropiedad</t>
  </si>
  <si>
    <t>La gerente del la copropiedad debe realizar desplazamientos para la realizar gestiones administrativas propias del la copropiedad, generalmente utilizando el vehículo personal</t>
  </si>
  <si>
    <t>Utilizar en los posible los medios de transporte asignados por el la copropiedad</t>
  </si>
  <si>
    <t>Transportarse fuera de las instalaciones, con el fin de realizar compras necesarias para dar respuesta a las necesidades del la copropiedad</t>
  </si>
  <si>
    <t>Capacitación en pausas activas, pausas visuales.
Programa para la gestión de lesiones osteomusculares -</t>
  </si>
  <si>
    <t xml:space="preserve">Mantenimiento del mobiliario de oficina - </t>
  </si>
  <si>
    <t>Mantenimiento del mobiliario de oficina - Sillas ergonómicas, con apoya brazos, diseño de puesto de trabajo</t>
  </si>
  <si>
    <t xml:space="preserve">caidas y posibles heridas de diferente magnitud
con Fracturas </t>
  </si>
  <si>
    <t>Capacitacion del riesgo autocuidado</t>
  </si>
  <si>
    <t>Programa de inspecciones planeadas, capacitación en condiciones de riesgo locativo reporte de condiciones inseguras</t>
  </si>
  <si>
    <t>Uso de EPP (guantes desechable de nitrilo.</t>
  </si>
  <si>
    <t>CONDICIONES DE SEGURIDAD, MECANICO: ELECTRICO  elementos de máquinas</t>
  </si>
  <si>
    <t>golpes en las manos,Cortadas, proyección  de partículas  a los ojos, lesiones en manos y diferentes partes del cuerpo muerte por caida de herramientas desde altura.</t>
  </si>
  <si>
    <t>orden y limpieza permanente.</t>
  </si>
  <si>
    <t>Mantenimiento preventivo de equipo y herramientas hacer inspecciones periodicas de las herramientas.</t>
  </si>
  <si>
    <t xml:space="preserve">Múltiples lesiones por caida al mismo nivel </t>
  </si>
  <si>
    <t>elementos de proteccion personal .</t>
  </si>
  <si>
    <t>colocar superfuies antideslizantes donde transita el operario.</t>
  </si>
  <si>
    <t>Cefalea,
problemas gastrointestinales,
Estrés,agotamiento ansiedad.fatiga mental.</t>
  </si>
  <si>
    <t>Cefalea, estrés fatiga mental.</t>
  </si>
  <si>
    <t>intoxicación por inhalación de vapores afecciones respiratorias dermatosis ocuapacional.</t>
  </si>
  <si>
    <t>Afectación emocional, fisiológica, falta de concentración,estres deterioro de la salud fisica y mental.</t>
  </si>
  <si>
    <t>CONDICIONES DE SEGURIDAD, MECANICO electrico  elementos de máquinas</t>
  </si>
  <si>
    <t>Heridas de diferente magnitud
Fracturas caidas al mismo nivel y a distinto nivel.</t>
  </si>
  <si>
    <t>Capacitación en el  riesgo locativo orden y aseo</t>
  </si>
  <si>
    <t xml:space="preserve">Afectación emocional, fisiológica, falta de concentración,agotamiento desgaste  fisico. </t>
  </si>
  <si>
    <t>Múltiples lesiones estres ansiedad</t>
  </si>
  <si>
    <t xml:space="preserve">BIOMECÁNICOS: Postura inadecuada  .movimientos repetitivos </t>
  </si>
  <si>
    <t>Capacitación en higiene postural realizar pausas activas para descansar fisica como mentalmente.</t>
  </si>
  <si>
    <t>lumbalgia, escoliosis dolor de espalda,lesiones del sistema musculo esqueletico estres.</t>
  </si>
  <si>
    <t xml:space="preserve">zona de transporte libre de obsataculos </t>
  </si>
  <si>
    <t xml:space="preserve">Capacitación el riesgo de  manipuolacion de cargas </t>
  </si>
  <si>
    <t>Golpes en las manos y brazos , cortes, machucones amputaciones ,desorden osteomuscular ,hipoacusia o sordera ,electrocucion,lumbalgias,allteracion auditiva,peredida visual por proyeccion de esquirlas,ciadas al mismo nivel.quemaduras</t>
  </si>
  <si>
    <t>Lesiones Osteomusculares la muerte.</t>
  </si>
  <si>
    <t>mantenimiento de las herramientas electricas.</t>
  </si>
  <si>
    <t>Capacitación en el uso adecuado de herramientas manuales, eléctricas y neumáticas Se debe diseñar e
implementar programa de mantenimiento preventivo y correctivo.Mantenimiento Planeado:como Motor
Mantenimiento correctivo: Cada vez que el equipo presente fallas.
El mantenimiento debeser realizado por elfabricante de la pulidora y con el equipo desenergizado.</t>
  </si>
  <si>
    <t>Uso de EPP
de acuerdo al tipo de herramienta, guantes para manejo de pulidora guantes de vaqueta,careta de cara completa de acrilico ,proteccion auditiva tipo copa  herramientas, monogafas, ropa de trabajo.casco de seguridad.</t>
  </si>
  <si>
    <t xml:space="preserve">Heridas de diferente magnitud
Fracturas caida de desitinto nivel a mismo nivel  </t>
  </si>
  <si>
    <t>Señalización de desniveles, barandas, antideslizantes.El transporte de herramientas se debe realizar en cajas, bolsas o cinturones especialmente diseñados para ello,Las herramientas no se deben llevar en los bolsillos,sean o no punzantes o cortantes.Cuando se deban subir escaleras o realizar maniobras de ascenso o descenso, las herramientas se llevarán de forma que las manos queden libres.</t>
  </si>
  <si>
    <t>Cortadas, proyección  de partículas  a los ojos, lesiones en manos y diferentes partes del cuerpo,desordenes musculo esqueleticos.esguinses(muñeca)tendinitis,pellizcos en dedos o manos,lesiones oculares,heridas superficiales,amputaciones,lesiones de espalda por sobre esfuerzos.</t>
  </si>
  <si>
    <t>Golpes y heridas de diferente magnitud
Muerte, caida de objetos mintras esta manipulando , Choques, golpes contra objetos inmóviles o móviles sobreesfuerzos,posturas inadecaudas,movimientos repetitivos, exposicion a temperaturas ambientales extremas.</t>
  </si>
  <si>
    <t>Sistemas de protección colectivos de protección contra caídas Arnés y Línea de Vida individual y colectiva.</t>
  </si>
  <si>
    <t xml:space="preserve">quemaduras en tercer grado
Amputación(caidas a distinto nivel,la muerte. </t>
  </si>
  <si>
    <t>Diseñar, establecer e implementar el programa de protección contra caídas, de acuerdo a la resolución 1409. de 2012</t>
  </si>
  <si>
    <t xml:space="preserve">lumbalgia, escoliosis dolor de espalda,lesiones del sistema musculo esqueletico estrés, golpes, contuciones, caidas </t>
  </si>
  <si>
    <t>Sensibilizar a los usuarios del servicio sobre la separacion de residuos organicos e inorganicos sin arrojar elementos potencialmente peligrosos</t>
  </si>
  <si>
    <t xml:space="preserve">plan de gestión integral de residuos sólidos Exámenes médicos ocupacionales, programa de medicina preventiva y del trabajo programa de inspecciones y procedimientos de higiene y seguridad industrial, plan de emergia </t>
  </si>
  <si>
    <t>señalizacion de sitio restringido,y  simbolo peligro biologico.Información en puntos de reciclaje informando sobre no arrojar objetos como vidrios y materiales corto punzantes.</t>
  </si>
  <si>
    <t>Sensibilizar a los usuarios del servicio sobre como  separar los residuos  sin arrojar elementos potencialmente peligrosos,</t>
  </si>
  <si>
    <t>plan de gestión integral de residuos sólidos Reforzar prácticas de separación en la fuente,Exámenes médicos ocupacionales, programa de medicina preventiva y del trabajo</t>
  </si>
  <si>
    <t>elementos de prottecion personal.Guantes para manejo de herramientas y Guantes en nitrilo 3/4</t>
  </si>
  <si>
    <t>Traslados a diferentes áreas del la copropiedad con herramientas o materiales</t>
  </si>
  <si>
    <t>Tareas varias de mantenimiento de las instalaciones del la copropiedad</t>
  </si>
  <si>
    <t>LIMPIEZA Y DESINFECCION</t>
  </si>
  <si>
    <t xml:space="preserve">MANTENIMIENTO </t>
  </si>
  <si>
    <t>OPERATIVO DE MANTENIMIENTO 
PLOMERIA, ELECTRICIDAD, ARREGLOS LOCATIVOS Y OTROS</t>
  </si>
  <si>
    <t xml:space="preserve">Propiedad horizontal
</t>
  </si>
  <si>
    <t>Realizar apertura de las válvulas, inspección y apoyo en el  mantenimiento periódico</t>
  </si>
  <si>
    <t>Jornada de trabajo</t>
  </si>
  <si>
    <t xml:space="preserve">Jornada de trabajo </t>
  </si>
  <si>
    <t>GESTIÓN DE RESIDUOS ZONAS COMUNES</t>
  </si>
  <si>
    <t>BIOLÓGICO: Hongos, virus y bacterias</t>
  </si>
  <si>
    <t>Información en puntos de reciclaje informando sobre no arrojar objetos como vidrios y materiales corto punzantes a la copropiedad.</t>
  </si>
  <si>
    <t>Posturas sedente durante la jornada laboral al mantener la mirada en los monitores que transmiten las imágenes del la copropiedad.</t>
  </si>
  <si>
    <t>SERVICIOS GENERALES</t>
  </si>
  <si>
    <t>PROPIEDAD HORIZONTAL</t>
  </si>
  <si>
    <t>VIGILANCIA Y SEGURIDAD</t>
  </si>
  <si>
    <t>Realizar
labores de aseo toda la copropiedad</t>
  </si>
  <si>
    <t>Actividades de limpieza y desinfeccion en la propiedad horizontal</t>
  </si>
  <si>
    <t>CONDICIONES DE SEGURIDAD, PUBLICOS: altercados. Amenazas y robos asaltos</t>
  </si>
  <si>
    <t>Capacitar en como actuar en caso de un posble atercado</t>
  </si>
  <si>
    <t>Transporte dentro de las instalacion de la copropiedad - circulacion de vehiculos</t>
  </si>
  <si>
    <t>Circulacion vehicular dentro de la copropiedad</t>
  </si>
  <si>
    <t xml:space="preserve">Señalizacion </t>
  </si>
  <si>
    <t>Capacitación en el riesgo de transito</t>
  </si>
  <si>
    <t>Dolores osteomusculares</t>
  </si>
  <si>
    <t>Pausas saludables</t>
  </si>
  <si>
    <t>Síndrome del túnel del carpo - Lesiones de espalda</t>
  </si>
  <si>
    <t>Realizar aseo en todos los pisos de la copropiedad</t>
  </si>
  <si>
    <t>Palos de escobas y trapeadores de un largo de 1.50 para evitar movimientos en arco de la columna</t>
  </si>
  <si>
    <t>NA</t>
  </si>
  <si>
    <t xml:space="preserve">Traslados a diferentes áreas del la copropiedad con elementos de aseo </t>
  </si>
  <si>
    <t>Tareas varias de limpieza y desinfeccion en todas las areas de la copropiedad</t>
  </si>
  <si>
    <t>Traslados a diferentes áreas del la copropiedad</t>
  </si>
  <si>
    <t>Señalizar areas con desniveles o riesgo de caida del mismo nivel</t>
  </si>
  <si>
    <t>Síndrome del túnel del carpo,lesiones musculo.esqueleticos.  fatiga muscular, sobrecarga.</t>
  </si>
  <si>
    <t>Capacitación  en higiene postural ,en pausas activas, estiramiento de manos y dedos, cambio de actividades.</t>
  </si>
  <si>
    <t xml:space="preserve">Limpieza y desinfeccion </t>
  </si>
  <si>
    <t>Durante la actividad diaria, contacto con superficies sucias, humedad y con material particulado</t>
  </si>
  <si>
    <t xml:space="preserve">Contacto con hongos, virus y bacterias en superficies </t>
  </si>
  <si>
    <t>Uniforme antifluidos</t>
  </si>
  <si>
    <t>Capacitacion de autocuidado y uso de EPPS</t>
  </si>
  <si>
    <t>En el uso de productos químicos para la limpieza y desinfeccion de la copropiedad</t>
  </si>
  <si>
    <t>QUÍMICO: liquidos, gases y material particulado</t>
  </si>
  <si>
    <t>Código:MT-SST-001</t>
  </si>
  <si>
    <t>VERSION 1</t>
  </si>
  <si>
    <t>CONJUNTO RESIDENCIAL ABEDUL - PH</t>
  </si>
  <si>
    <t>FECHA DE REVISIÓN: 1 de marzo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</si>
</sst>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0"/>
      <name val="Arial"/>
    </font>
    <font>
      <sz val="10"/>
      <name val="Arial"/>
      <family val="2"/>
    </font>
    <font>
      <b/>
      <sz val="10"/>
      <name val="Arial"/>
      <family val="2"/>
    </font>
    <font>
      <b/>
      <sz val="8"/>
      <name val="Arial"/>
      <family val="2"/>
    </font>
    <font>
      <sz val="8"/>
      <name val="Arial"/>
      <family val="2"/>
    </font>
    <font>
      <b/>
      <sz val="9"/>
      <color indexed="81"/>
      <name val="Tahoma"/>
      <family val="2"/>
    </font>
    <font>
      <sz val="9"/>
      <color indexed="81"/>
      <name val="Tahoma"/>
      <family val="2"/>
    </font>
    <font>
      <b/>
      <sz val="14"/>
      <name val="Arial"/>
      <family val="2"/>
    </font>
    <font>
      <b/>
      <sz val="12"/>
      <name val="Arial"/>
      <family val="2"/>
    </font>
    <font>
      <sz val="11"/>
      <color indexed="9"/>
      <name val="Calibri"/>
      <family val="2"/>
    </font>
    <font>
      <sz val="10"/>
      <color indexed="8"/>
      <name val="Arial"/>
      <family val="2"/>
    </font>
    <font>
      <u/>
      <sz val="10"/>
      <color indexed="12"/>
      <name val="Arial"/>
      <family val="2"/>
    </font>
    <font>
      <sz val="11"/>
      <name val="Calibri"/>
      <family val="2"/>
    </font>
    <font>
      <sz val="12"/>
      <name val="Arial"/>
      <family val="2"/>
    </font>
    <font>
      <b/>
      <sz val="11"/>
      <name val="Arial"/>
      <family val="2"/>
    </font>
    <font>
      <sz val="11"/>
      <name val="Arial"/>
      <family val="2"/>
    </font>
    <font>
      <b/>
      <sz val="9"/>
      <name val="Arial"/>
      <family val="2"/>
    </font>
    <font>
      <sz val="9"/>
      <name val="Arial"/>
      <family val="2"/>
    </font>
    <font>
      <sz val="9"/>
      <name val="Calibri"/>
      <family val="2"/>
    </font>
    <font>
      <u/>
      <sz val="10"/>
      <name val="Arial"/>
      <family val="2"/>
    </font>
    <font>
      <sz val="11"/>
      <color theme="1"/>
      <name val="Calibri"/>
      <family val="2"/>
      <scheme val="minor"/>
    </font>
    <font>
      <sz val="11"/>
      <color theme="0"/>
      <name val="Calibri"/>
      <family val="2"/>
      <scheme val="minor"/>
    </font>
    <font>
      <b/>
      <sz val="11"/>
      <color theme="1"/>
      <name val="Calibri"/>
      <family val="2"/>
      <scheme val="minor"/>
    </font>
    <font>
      <sz val="8"/>
      <color theme="1"/>
      <name val="Arial"/>
      <family val="2"/>
    </font>
    <font>
      <b/>
      <sz val="11"/>
      <name val="Calibri"/>
      <family val="2"/>
      <scheme val="minor"/>
    </font>
    <font>
      <sz val="11"/>
      <name val="Calibri"/>
      <family val="2"/>
      <scheme val="minor"/>
    </font>
    <font>
      <sz val="10"/>
      <color theme="1"/>
      <name val="Arial"/>
      <family val="2"/>
    </font>
    <font>
      <b/>
      <sz val="10"/>
      <color theme="1"/>
      <name val="Arial"/>
      <family val="2"/>
    </font>
    <font>
      <sz val="12"/>
      <color theme="1"/>
      <name val="Arial"/>
      <family val="2"/>
    </font>
    <font>
      <b/>
      <sz val="12"/>
      <color theme="1"/>
      <name val="Arial"/>
      <family val="2"/>
    </font>
    <font>
      <b/>
      <sz val="11"/>
      <color theme="1"/>
      <name val="Arial"/>
      <family val="2"/>
    </font>
    <font>
      <sz val="11"/>
      <color theme="1"/>
      <name val="Arial"/>
      <family val="2"/>
    </font>
    <font>
      <sz val="9"/>
      <color theme="1"/>
      <name val="Arial"/>
      <family val="2"/>
    </font>
    <font>
      <u/>
      <sz val="11"/>
      <color theme="1"/>
      <name val="Arial"/>
      <family val="2"/>
    </font>
    <font>
      <b/>
      <sz val="28"/>
      <name val="Calibri"/>
      <family val="2"/>
      <scheme val="minor"/>
    </font>
    <font>
      <b/>
      <sz val="16"/>
      <name val="Calibri"/>
      <family val="2"/>
      <scheme val="minor"/>
    </font>
    <font>
      <b/>
      <sz val="22"/>
      <name val="Calibri"/>
      <family val="2"/>
      <scheme val="minor"/>
    </font>
    <font>
      <b/>
      <sz val="12"/>
      <name val="Calibri"/>
      <family val="2"/>
      <scheme val="minor"/>
    </font>
    <font>
      <b/>
      <u/>
      <sz val="16"/>
      <color theme="1"/>
      <name val="Calibri"/>
      <family val="2"/>
      <scheme val="minor"/>
    </font>
    <font>
      <b/>
      <u/>
      <sz val="28"/>
      <color theme="1"/>
      <name val="Calibri"/>
      <family val="2"/>
    </font>
  </fonts>
  <fills count="2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6" tint="0.79998168889431442"/>
        <bgColor indexed="64"/>
      </patternFill>
    </fill>
    <fill>
      <patternFill patternType="solid">
        <fgColor theme="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00"/>
        <bgColor indexed="64"/>
      </patternFill>
    </fill>
    <fill>
      <patternFill patternType="solid">
        <fgColor theme="0"/>
        <bgColor theme="0"/>
      </patternFill>
    </fill>
    <fill>
      <patternFill patternType="solid">
        <fgColor rgb="FFFFFFFF"/>
        <bgColor rgb="FFFFFFFF"/>
      </patternFill>
    </fill>
    <fill>
      <patternFill patternType="solid">
        <fgColor rgb="FF92D050"/>
        <bgColor rgb="FF92D050"/>
      </patternFill>
    </fill>
    <fill>
      <patternFill patternType="solid">
        <fgColor rgb="FFECECEC"/>
        <bgColor rgb="FFECECEC"/>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CCFF99"/>
        <bgColor indexed="64"/>
      </patternFill>
    </fill>
    <fill>
      <patternFill patternType="solid">
        <fgColor rgb="FF7F7F7F"/>
        <bgColor rgb="FF7F7F7F"/>
      </patternFill>
    </fill>
    <fill>
      <patternFill patternType="solid">
        <fgColor theme="7" tint="0.39997558519241921"/>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rgb="FFCCFF99"/>
        <bgColor rgb="FFCCFF99"/>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double">
        <color indexed="64"/>
      </left>
      <right style="double">
        <color indexed="64"/>
      </right>
      <top style="double">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double">
        <color rgb="FF000000"/>
      </left>
      <right/>
      <top style="double">
        <color rgb="FF000000"/>
      </top>
      <bottom style="thin">
        <color indexed="64"/>
      </bottom>
      <diagonal/>
    </border>
    <border>
      <left/>
      <right/>
      <top style="double">
        <color rgb="FF000000"/>
      </top>
      <bottom style="thin">
        <color indexed="64"/>
      </bottom>
      <diagonal/>
    </border>
  </borders>
  <cellStyleXfs count="6">
    <xf numFmtId="0" fontId="0" fillId="0" borderId="0"/>
    <xf numFmtId="0" fontId="11" fillId="0" borderId="0" applyNumberFormat="0" applyFill="0" applyBorder="0" applyAlignment="0" applyProtection="0">
      <alignment vertical="top"/>
      <protection locked="0"/>
    </xf>
    <xf numFmtId="0" fontId="1" fillId="0" borderId="0"/>
    <xf numFmtId="0" fontId="1" fillId="0" borderId="0"/>
    <xf numFmtId="0" fontId="1" fillId="0" borderId="0"/>
    <xf numFmtId="0" fontId="20" fillId="0" borderId="0"/>
  </cellStyleXfs>
  <cellXfs count="296">
    <xf numFmtId="0" fontId="0" fillId="0" borderId="0" xfId="0"/>
    <xf numFmtId="0" fontId="0" fillId="3" borderId="0" xfId="0" applyFill="1"/>
    <xf numFmtId="0" fontId="3" fillId="4" borderId="1" xfId="0" applyFont="1" applyFill="1" applyBorder="1" applyAlignment="1">
      <alignment horizontal="center" vertical="center" wrapText="1"/>
    </xf>
    <xf numFmtId="0" fontId="4" fillId="0" borderId="0" xfId="0" applyFont="1" applyAlignment="1">
      <alignment vertical="center"/>
    </xf>
    <xf numFmtId="0" fontId="3" fillId="4" borderId="1" xfId="0" applyFont="1" applyFill="1" applyBorder="1" applyAlignment="1">
      <alignment horizontal="center" vertical="center"/>
    </xf>
    <xf numFmtId="0" fontId="3" fillId="4" borderId="2" xfId="0" applyFont="1" applyFill="1" applyBorder="1" applyAlignment="1">
      <alignment vertical="center" wrapText="1"/>
    </xf>
    <xf numFmtId="0" fontId="23" fillId="0" borderId="1" xfId="0" applyFont="1" applyBorder="1" applyAlignment="1">
      <alignment horizontal="center" vertical="center" wrapText="1"/>
    </xf>
    <xf numFmtId="0" fontId="4" fillId="0" borderId="1" xfId="2" applyFont="1" applyBorder="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pplyProtection="1">
      <alignment horizontal="center" vertical="center" wrapText="1"/>
      <protection locked="0"/>
    </xf>
    <xf numFmtId="0" fontId="4" fillId="2" borderId="1" xfId="0" applyFont="1" applyFill="1" applyBorder="1" applyAlignment="1">
      <alignment horizontal="justify" vertical="center" wrapText="1"/>
    </xf>
    <xf numFmtId="0" fontId="4" fillId="2" borderId="1" xfId="0" applyFont="1" applyFill="1" applyBorder="1" applyAlignment="1" applyProtection="1">
      <alignment horizontal="center" vertical="center"/>
      <protection locked="0"/>
    </xf>
    <xf numFmtId="0" fontId="0" fillId="0" borderId="0" xfId="0" applyAlignment="1">
      <alignment horizontal="center" vertical="center"/>
    </xf>
    <xf numFmtId="0" fontId="4" fillId="2" borderId="1" xfId="0" applyFont="1" applyFill="1" applyBorder="1" applyAlignment="1">
      <alignment horizontal="center" vertical="center" wrapText="1"/>
    </xf>
    <xf numFmtId="0" fontId="0" fillId="0" borderId="0" xfId="0" applyAlignment="1">
      <alignment vertical="center"/>
    </xf>
    <xf numFmtId="0" fontId="23" fillId="0" borderId="1" xfId="2" applyFont="1" applyBorder="1" applyAlignment="1">
      <alignment horizontal="center" vertical="center" wrapText="1"/>
    </xf>
    <xf numFmtId="0" fontId="23" fillId="0" borderId="1" xfId="0" applyFont="1" applyBorder="1" applyAlignment="1">
      <alignment horizontal="center" vertical="center"/>
    </xf>
    <xf numFmtId="0" fontId="1" fillId="0" borderId="1" xfId="0" applyFont="1" applyBorder="1" applyAlignment="1">
      <alignment horizontal="center" vertical="center"/>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xf>
    <xf numFmtId="0" fontId="4" fillId="0" borderId="1" xfId="0" applyFont="1" applyBorder="1" applyAlignment="1" applyProtection="1">
      <alignment horizontal="center" vertical="center"/>
      <protection locked="0"/>
    </xf>
    <xf numFmtId="0" fontId="3" fillId="0" borderId="1" xfId="0" applyFont="1" applyBorder="1" applyAlignment="1">
      <alignment horizontal="center" vertical="center" textRotation="90" wrapText="1"/>
    </xf>
    <xf numFmtId="0" fontId="23" fillId="0" borderId="1" xfId="0" applyFont="1" applyBorder="1" applyAlignment="1">
      <alignment horizontal="center" vertical="center" textRotation="90" wrapText="1"/>
    </xf>
    <xf numFmtId="0" fontId="0" fillId="0" borderId="0" xfId="0" applyAlignment="1">
      <alignment horizontal="center"/>
    </xf>
    <xf numFmtId="0" fontId="22" fillId="3" borderId="0" xfId="0" applyFont="1" applyFill="1"/>
    <xf numFmtId="0" fontId="0" fillId="3" borderId="0" xfId="0" applyFill="1" applyAlignment="1">
      <alignment horizontal="center"/>
    </xf>
    <xf numFmtId="0" fontId="24" fillId="3" borderId="1" xfId="0" applyFont="1" applyFill="1" applyBorder="1" applyAlignment="1">
      <alignment horizontal="center"/>
    </xf>
    <xf numFmtId="0" fontId="0" fillId="3" borderId="1" xfId="0" applyFill="1" applyBorder="1" applyAlignment="1">
      <alignment horizontal="center" vertical="center"/>
    </xf>
    <xf numFmtId="0" fontId="0" fillId="3" borderId="1" xfId="0" applyFill="1" applyBorder="1" applyAlignment="1">
      <alignment vertical="center"/>
    </xf>
    <xf numFmtId="0" fontId="0" fillId="0" borderId="1" xfId="0" applyBorder="1" applyAlignment="1">
      <alignment horizontal="center" vertical="center"/>
    </xf>
    <xf numFmtId="0" fontId="21" fillId="5" borderId="1" xfId="0" applyFont="1"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24" fillId="3" borderId="1" xfId="0" applyFont="1" applyFill="1" applyBorder="1" applyAlignment="1">
      <alignment horizontal="center" vertical="center"/>
    </xf>
    <xf numFmtId="16" fontId="0" fillId="0" borderId="1" xfId="0" applyNumberFormat="1" applyBorder="1" applyAlignment="1">
      <alignment horizontal="center" vertical="center"/>
    </xf>
    <xf numFmtId="0" fontId="25" fillId="8"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24" fillId="0" borderId="1" xfId="0" applyFont="1" applyBorder="1" applyAlignment="1">
      <alignment horizontal="center" vertical="center"/>
    </xf>
    <xf numFmtId="0" fontId="3" fillId="9" borderId="2" xfId="0" applyFont="1" applyFill="1" applyBorder="1" applyAlignment="1">
      <alignment horizontal="center" vertical="center" wrapText="1"/>
    </xf>
    <xf numFmtId="0" fontId="26" fillId="10" borderId="0" xfId="0" applyFont="1" applyFill="1"/>
    <xf numFmtId="0" fontId="23" fillId="0" borderId="23" xfId="0" applyFont="1" applyBorder="1" applyAlignment="1">
      <alignment horizontal="center" vertical="center" wrapText="1"/>
    </xf>
    <xf numFmtId="0" fontId="23" fillId="11" borderId="23" xfId="0" applyFont="1" applyFill="1" applyBorder="1" applyAlignment="1">
      <alignment horizontal="center" vertical="center" wrapText="1"/>
    </xf>
    <xf numFmtId="0" fontId="23" fillId="12" borderId="23" xfId="0" applyFont="1" applyFill="1" applyBorder="1" applyAlignment="1">
      <alignment horizontal="center" vertical="center" wrapText="1"/>
    </xf>
    <xf numFmtId="0" fontId="26" fillId="0" borderId="0" xfId="0" applyFont="1" applyAlignment="1">
      <alignment horizontal="center" vertical="center"/>
    </xf>
    <xf numFmtId="0" fontId="0" fillId="0" borderId="1" xfId="0" applyBorder="1"/>
    <xf numFmtId="0" fontId="27" fillId="13" borderId="1" xfId="0" applyFont="1" applyFill="1" applyBorder="1" applyAlignment="1">
      <alignment horizontal="center" vertical="center" wrapText="1"/>
    </xf>
    <xf numFmtId="0" fontId="0" fillId="0" borderId="1" xfId="0" applyBorder="1" applyAlignment="1">
      <alignment horizontal="center"/>
    </xf>
    <xf numFmtId="0" fontId="0" fillId="3" borderId="0" xfId="0" applyFill="1" applyAlignment="1">
      <alignment horizontal="center" vertical="center"/>
    </xf>
    <xf numFmtId="0" fontId="4" fillId="0" borderId="0" xfId="0" applyFont="1" applyAlignment="1">
      <alignment horizontal="center" vertical="center"/>
    </xf>
    <xf numFmtId="0" fontId="13" fillId="3" borderId="0" xfId="0" applyFont="1" applyFill="1" applyAlignment="1">
      <alignment horizontal="center" vertical="center"/>
    </xf>
    <xf numFmtId="0" fontId="13" fillId="0" borderId="0" xfId="0" applyFont="1" applyAlignment="1">
      <alignment horizontal="center" vertical="center"/>
    </xf>
    <xf numFmtId="0" fontId="28" fillId="10" borderId="0" xfId="0" applyFont="1" applyFill="1"/>
    <xf numFmtId="0" fontId="13" fillId="0" borderId="0" xfId="0" applyFont="1"/>
    <xf numFmtId="0" fontId="29" fillId="13" borderId="23" xfId="0" applyFont="1" applyFill="1" applyBorder="1" applyAlignment="1">
      <alignment horizontal="center" vertical="center" wrapText="1"/>
    </xf>
    <xf numFmtId="0" fontId="28" fillId="0" borderId="0" xfId="0" applyFont="1" applyAlignment="1">
      <alignment vertical="center"/>
    </xf>
    <xf numFmtId="0" fontId="29" fillId="13" borderId="23" xfId="0" applyFont="1" applyFill="1" applyBorder="1" applyAlignment="1">
      <alignment horizontal="center" vertical="center"/>
    </xf>
    <xf numFmtId="0" fontId="29" fillId="13" borderId="24" xfId="0" applyFont="1" applyFill="1" applyBorder="1" applyAlignment="1">
      <alignment horizontal="center" vertical="center"/>
    </xf>
    <xf numFmtId="0" fontId="29" fillId="13" borderId="25" xfId="0" applyFont="1" applyFill="1" applyBorder="1" applyAlignment="1">
      <alignment horizontal="center" vertical="center" wrapText="1"/>
    </xf>
    <xf numFmtId="0" fontId="29" fillId="13" borderId="24" xfId="0" applyFont="1" applyFill="1" applyBorder="1" applyAlignment="1">
      <alignment horizontal="center" vertical="center" wrapText="1"/>
    </xf>
    <xf numFmtId="0" fontId="29" fillId="13" borderId="26" xfId="0" applyFont="1" applyFill="1" applyBorder="1" applyAlignment="1">
      <alignment vertical="center" wrapText="1"/>
    </xf>
    <xf numFmtId="0" fontId="29" fillId="13" borderId="26"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28" fillId="0" borderId="0" xfId="0" applyFont="1" applyAlignment="1">
      <alignment horizontal="center" vertical="center"/>
    </xf>
    <xf numFmtId="0" fontId="13" fillId="0" borderId="0" xfId="0" applyFont="1" applyAlignment="1">
      <alignment horizontal="center"/>
    </xf>
    <xf numFmtId="0" fontId="15" fillId="3" borderId="0" xfId="0" applyFont="1" applyFill="1" applyAlignment="1">
      <alignment horizontal="center" vertical="center"/>
    </xf>
    <xf numFmtId="0" fontId="15" fillId="0" borderId="0" xfId="0" applyFont="1" applyAlignment="1">
      <alignment horizontal="center" vertical="center"/>
    </xf>
    <xf numFmtId="0" fontId="15" fillId="0" borderId="0" xfId="0" applyFont="1"/>
    <xf numFmtId="0" fontId="30" fillId="0" borderId="23" xfId="0" applyFont="1" applyBorder="1" applyAlignment="1">
      <alignment horizontal="center" vertical="center" textRotation="90" wrapText="1"/>
    </xf>
    <xf numFmtId="0" fontId="31" fillId="10" borderId="23" xfId="0" applyFont="1" applyFill="1" applyBorder="1" applyAlignment="1">
      <alignment horizontal="center" vertical="center" textRotation="90" wrapText="1"/>
    </xf>
    <xf numFmtId="0" fontId="31" fillId="0" borderId="23" xfId="0" applyFont="1" applyBorder="1" applyAlignment="1">
      <alignment horizontal="center" vertical="center" wrapText="1"/>
    </xf>
    <xf numFmtId="0" fontId="15" fillId="0" borderId="23" xfId="0" applyFont="1" applyBorder="1" applyAlignment="1">
      <alignment horizontal="center" vertical="center" wrapText="1"/>
    </xf>
    <xf numFmtId="0" fontId="31" fillId="11" borderId="23" xfId="0" applyFont="1" applyFill="1" applyBorder="1" applyAlignment="1">
      <alignment horizontal="center" vertical="center"/>
    </xf>
    <xf numFmtId="0" fontId="31" fillId="12" borderId="23" xfId="0" applyFont="1" applyFill="1" applyBorder="1" applyAlignment="1">
      <alignment horizontal="center" vertical="center" wrapText="1"/>
    </xf>
    <xf numFmtId="0" fontId="31" fillId="11" borderId="23" xfId="0" applyFont="1" applyFill="1" applyBorder="1" applyAlignment="1">
      <alignment horizontal="left" vertical="center" wrapText="1"/>
    </xf>
    <xf numFmtId="0" fontId="15" fillId="11" borderId="23" xfId="0" applyFont="1" applyFill="1" applyBorder="1" applyAlignment="1">
      <alignment horizontal="center" vertical="center" wrapText="1"/>
    </xf>
    <xf numFmtId="0" fontId="15" fillId="11" borderId="24" xfId="0" applyFont="1" applyFill="1" applyBorder="1" applyAlignment="1">
      <alignment horizontal="center" vertical="center" wrapText="1"/>
    </xf>
    <xf numFmtId="0" fontId="15" fillId="0" borderId="1" xfId="0" applyFont="1" applyBorder="1"/>
    <xf numFmtId="0" fontId="31" fillId="11" borderId="1" xfId="0" applyFont="1" applyFill="1" applyBorder="1" applyAlignment="1">
      <alignment vertical="center"/>
    </xf>
    <xf numFmtId="0" fontId="31" fillId="0" borderId="0" xfId="0" applyFont="1"/>
    <xf numFmtId="0" fontId="31" fillId="11" borderId="0" xfId="0" applyFont="1" applyFill="1" applyAlignment="1">
      <alignment vertical="center"/>
    </xf>
    <xf numFmtId="0" fontId="15" fillId="0" borderId="23" xfId="0" applyFont="1" applyBorder="1" applyAlignment="1">
      <alignment horizontal="center" vertical="center"/>
    </xf>
    <xf numFmtId="0" fontId="15" fillId="0" borderId="23" xfId="0" applyFont="1" applyBorder="1" applyAlignment="1">
      <alignment horizontal="left" vertical="center" wrapText="1"/>
    </xf>
    <xf numFmtId="0" fontId="31" fillId="11" borderId="23" xfId="0" applyFont="1" applyFill="1" applyBorder="1" applyAlignment="1">
      <alignment horizontal="center" vertical="center" textRotation="90" wrapText="1"/>
    </xf>
    <xf numFmtId="0" fontId="12" fillId="0" borderId="0" xfId="0" applyFont="1" applyAlignment="1">
      <alignment horizontal="left" vertical="center" wrapText="1"/>
    </xf>
    <xf numFmtId="0" fontId="15" fillId="10" borderId="24" xfId="0" applyFont="1" applyFill="1" applyBorder="1" applyAlignment="1">
      <alignment horizontal="center" vertical="center" wrapText="1"/>
    </xf>
    <xf numFmtId="0" fontId="15" fillId="0" borderId="1" xfId="0" applyFont="1" applyBorder="1" applyAlignment="1">
      <alignment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15" fillId="0" borderId="1" xfId="2" applyFont="1" applyBorder="1" applyAlignment="1">
      <alignment horizontal="center" vertical="center" wrapText="1"/>
    </xf>
    <xf numFmtId="0" fontId="15" fillId="0" borderId="1" xfId="0" applyFont="1" applyBorder="1" applyAlignment="1">
      <alignment horizontal="center" vertical="center"/>
    </xf>
    <xf numFmtId="0" fontId="15" fillId="14" borderId="1" xfId="0" applyFont="1" applyFill="1" applyBorder="1" applyAlignment="1">
      <alignment horizontal="center" vertical="center" wrapText="1"/>
    </xf>
    <xf numFmtId="0" fontId="15" fillId="2" borderId="1" xfId="0" applyFont="1" applyFill="1" applyBorder="1" applyAlignment="1" applyProtection="1">
      <alignment horizontal="center" vertical="center"/>
      <protection locked="0"/>
    </xf>
    <xf numFmtId="0" fontId="15" fillId="2" borderId="1" xfId="0" applyFont="1" applyFill="1" applyBorder="1" applyAlignment="1">
      <alignment horizontal="center" vertical="center" wrapText="1"/>
    </xf>
    <xf numFmtId="0" fontId="15" fillId="2" borderId="3" xfId="0" applyFont="1" applyFill="1" applyBorder="1" applyAlignment="1" applyProtection="1">
      <alignment horizontal="center" vertical="center" wrapText="1"/>
      <protection locked="0"/>
    </xf>
    <xf numFmtId="0" fontId="31" fillId="0" borderId="1" xfId="2" applyFont="1" applyBorder="1" applyAlignment="1">
      <alignment horizontal="center" vertical="center" wrapText="1"/>
    </xf>
    <xf numFmtId="0" fontId="31" fillId="0" borderId="1" xfId="0" applyFont="1" applyBorder="1" applyAlignment="1">
      <alignment horizontal="center" vertical="center"/>
    </xf>
    <xf numFmtId="0" fontId="1" fillId="0" borderId="0" xfId="0" applyFont="1"/>
    <xf numFmtId="0" fontId="17" fillId="0" borderId="0" xfId="0" applyFont="1" applyAlignment="1">
      <alignment horizontal="center" vertical="center"/>
    </xf>
    <xf numFmtId="0" fontId="32" fillId="0" borderId="1" xfId="0" applyFont="1" applyBorder="1" applyAlignment="1">
      <alignment horizontal="center" vertical="center" textRotation="90" wrapText="1"/>
    </xf>
    <xf numFmtId="0" fontId="17" fillId="0" borderId="1" xfId="2" applyFont="1" applyBorder="1" applyAlignment="1">
      <alignment horizontal="center" vertical="center" wrapText="1"/>
    </xf>
    <xf numFmtId="0" fontId="32" fillId="3"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2" borderId="1" xfId="0" applyFont="1" applyFill="1" applyBorder="1" applyAlignment="1" applyProtection="1">
      <alignment horizontal="center" vertical="center" wrapText="1"/>
      <protection locked="0"/>
    </xf>
    <xf numFmtId="0" fontId="17" fillId="2" borderId="1" xfId="0" applyFont="1" applyFill="1" applyBorder="1" applyAlignment="1">
      <alignment horizontal="center" vertical="center" wrapText="1"/>
    </xf>
    <xf numFmtId="0" fontId="17" fillId="2" borderId="1" xfId="0" applyFont="1" applyFill="1" applyBorder="1" applyAlignment="1" applyProtection="1">
      <alignment horizontal="center" vertical="center"/>
      <protection locked="0"/>
    </xf>
    <xf numFmtId="0" fontId="17" fillId="0" borderId="1" xfId="0" applyFont="1" applyBorder="1" applyAlignment="1" applyProtection="1">
      <alignment horizontal="center" vertical="center" wrapText="1"/>
      <protection locked="0"/>
    </xf>
    <xf numFmtId="0" fontId="32"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32" fillId="0" borderId="1" xfId="2" applyFont="1" applyBorder="1" applyAlignment="1">
      <alignment horizontal="center" vertical="center" wrapText="1"/>
    </xf>
    <xf numFmtId="0" fontId="16" fillId="0" borderId="1" xfId="0" applyFont="1" applyBorder="1" applyAlignment="1">
      <alignment horizontal="center" vertical="center" textRotation="90" wrapText="1"/>
    </xf>
    <xf numFmtId="0" fontId="32" fillId="0" borderId="1" xfId="0" applyFont="1" applyBorder="1" applyAlignment="1">
      <alignment horizontal="center" vertical="center"/>
    </xf>
    <xf numFmtId="0" fontId="15" fillId="0" borderId="0" xfId="0" applyFont="1" applyAlignment="1">
      <alignment vertical="center"/>
    </xf>
    <xf numFmtId="0" fontId="15" fillId="2" borderId="1" xfId="0" applyFont="1" applyFill="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15" fillId="3" borderId="1" xfId="0" applyFont="1" applyFill="1" applyBorder="1" applyAlignment="1">
      <alignment horizontal="center" vertical="center" wrapText="1"/>
    </xf>
    <xf numFmtId="0" fontId="1" fillId="3" borderId="0" xfId="0" applyFont="1" applyFill="1"/>
    <xf numFmtId="0" fontId="2" fillId="4" borderId="1" xfId="0" applyFont="1" applyFill="1" applyBorder="1" applyAlignment="1">
      <alignment horizontal="center" vertical="center" wrapText="1"/>
    </xf>
    <xf numFmtId="0" fontId="1" fillId="0" borderId="0" xfId="0" applyFont="1" applyAlignment="1">
      <alignment vertical="center"/>
    </xf>
    <xf numFmtId="0" fontId="2" fillId="4" borderId="1"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2" xfId="0" applyFont="1" applyFill="1" applyBorder="1" applyAlignment="1">
      <alignment vertical="center" wrapText="1"/>
    </xf>
    <xf numFmtId="0" fontId="2" fillId="4" borderId="2" xfId="0" applyFont="1" applyFill="1" applyBorder="1" applyAlignment="1">
      <alignment horizontal="center" vertical="center" wrapText="1"/>
    </xf>
    <xf numFmtId="0" fontId="26" fillId="0" borderId="1" xfId="0" applyFont="1" applyBorder="1" applyAlignment="1">
      <alignment horizontal="center" vertical="center" textRotation="90" wrapText="1"/>
    </xf>
    <xf numFmtId="0" fontId="0" fillId="15" borderId="1" xfId="0" applyFill="1" applyBorder="1" applyAlignment="1">
      <alignment horizontal="center" vertical="center" wrapText="1"/>
    </xf>
    <xf numFmtId="0" fontId="17" fillId="0" borderId="0" xfId="0" applyFont="1" applyAlignment="1">
      <alignment horizontal="center" vertical="center" wrapText="1"/>
    </xf>
    <xf numFmtId="0" fontId="1" fillId="0" borderId="0" xfId="0" applyFont="1" applyAlignment="1">
      <alignment horizontal="center" vertical="center"/>
    </xf>
    <xf numFmtId="0" fontId="31" fillId="0" borderId="0" xfId="0" applyFont="1" applyAlignment="1">
      <alignment horizontal="center" vertical="center"/>
    </xf>
    <xf numFmtId="0" fontId="15" fillId="0" borderId="4" xfId="0" applyFont="1" applyBorder="1"/>
    <xf numFmtId="0" fontId="1" fillId="0" borderId="4" xfId="0" applyFont="1" applyBorder="1"/>
    <xf numFmtId="0" fontId="30" fillId="13" borderId="1" xfId="0" applyFont="1" applyFill="1" applyBorder="1" applyAlignment="1">
      <alignment horizontal="center" vertical="center" wrapText="1"/>
    </xf>
    <xf numFmtId="0" fontId="30" fillId="13" borderId="1" xfId="0" applyFont="1" applyFill="1" applyBorder="1" applyAlignment="1">
      <alignment horizontal="center" vertical="center"/>
    </xf>
    <xf numFmtId="0" fontId="31" fillId="10" borderId="1" xfId="0" applyFont="1" applyFill="1" applyBorder="1" applyAlignment="1">
      <alignment horizontal="center" vertical="center" textRotation="90" wrapText="1"/>
    </xf>
    <xf numFmtId="0" fontId="31" fillId="11" borderId="1" xfId="0" applyFont="1" applyFill="1" applyBorder="1" applyAlignment="1">
      <alignment horizontal="center" vertical="center"/>
    </xf>
    <xf numFmtId="0" fontId="15" fillId="11" borderId="1" xfId="0" applyFont="1" applyFill="1" applyBorder="1" applyAlignment="1">
      <alignment horizontal="center" vertical="center" wrapText="1"/>
    </xf>
    <xf numFmtId="0" fontId="23" fillId="0" borderId="23" xfId="0" applyFont="1" applyBorder="1" applyAlignment="1">
      <alignment horizontal="center" vertical="center"/>
    </xf>
    <xf numFmtId="0" fontId="19" fillId="0" borderId="0" xfId="0" applyFont="1"/>
    <xf numFmtId="0" fontId="33" fillId="14" borderId="1" xfId="5" applyFont="1" applyFill="1" applyBorder="1" applyAlignment="1">
      <alignment horizontal="center" vertical="center"/>
    </xf>
    <xf numFmtId="0" fontId="33" fillId="14" borderId="1" xfId="5" applyFont="1" applyFill="1" applyBorder="1" applyAlignment="1">
      <alignment horizontal="center" vertical="center" wrapText="1"/>
    </xf>
    <xf numFmtId="0" fontId="33" fillId="0" borderId="1" xfId="5" applyFont="1" applyBorder="1" applyAlignment="1">
      <alignment horizontal="center" vertical="center"/>
    </xf>
    <xf numFmtId="0" fontId="33" fillId="0" borderId="1" xfId="5" applyFont="1" applyBorder="1" applyAlignment="1">
      <alignment horizontal="center" vertical="center" wrapText="1"/>
    </xf>
    <xf numFmtId="0" fontId="3" fillId="4" borderId="2"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4" xfId="0" applyFont="1" applyFill="1" applyBorder="1" applyAlignment="1">
      <alignment horizontal="center" vertical="center"/>
    </xf>
    <xf numFmtId="0" fontId="8" fillId="3" borderId="3" xfId="0" applyFont="1" applyFill="1" applyBorder="1" applyAlignment="1">
      <alignment horizontal="left" vertical="center"/>
    </xf>
    <xf numFmtId="0" fontId="8" fillId="3" borderId="7" xfId="0" applyFont="1" applyFill="1" applyBorder="1" applyAlignment="1">
      <alignment horizontal="left" vertical="center"/>
    </xf>
    <xf numFmtId="0" fontId="8" fillId="3" borderId="4" xfId="0" applyFont="1" applyFill="1" applyBorder="1" applyAlignment="1">
      <alignment horizontal="left" vertical="center"/>
    </xf>
    <xf numFmtId="0" fontId="3" fillId="4" borderId="3"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7" fillId="0" borderId="8" xfId="0" applyFont="1" applyBorder="1" applyAlignment="1">
      <alignment horizontal="center" vertical="center"/>
    </xf>
    <xf numFmtId="0" fontId="34" fillId="17" borderId="8" xfId="0" applyFont="1" applyFill="1" applyBorder="1" applyAlignment="1">
      <alignment horizontal="center" vertical="center"/>
    </xf>
    <xf numFmtId="0" fontId="8" fillId="0" borderId="9" xfId="0" applyFont="1" applyBorder="1" applyAlignment="1">
      <alignment horizontal="left" vertical="center"/>
    </xf>
    <xf numFmtId="0" fontId="8" fillId="0" borderId="10" xfId="0" applyFont="1" applyBorder="1" applyAlignment="1">
      <alignment horizontal="left" vertical="center"/>
    </xf>
    <xf numFmtId="0" fontId="35" fillId="17" borderId="8" xfId="0" applyFont="1" applyFill="1" applyBorder="1" applyAlignment="1">
      <alignment horizontal="center" vertical="center"/>
    </xf>
    <xf numFmtId="0" fontId="1" fillId="3" borderId="3" xfId="0" applyFont="1" applyFill="1" applyBorder="1" applyAlignment="1">
      <alignment horizontal="left" vertical="center"/>
    </xf>
    <xf numFmtId="0" fontId="1" fillId="3" borderId="7" xfId="0" applyFont="1" applyFill="1" applyBorder="1" applyAlignment="1">
      <alignment horizontal="left" vertical="center"/>
    </xf>
    <xf numFmtId="0" fontId="1" fillId="3" borderId="4" xfId="0" applyFont="1" applyFill="1" applyBorder="1" applyAlignment="1">
      <alignment horizontal="left" vertical="center"/>
    </xf>
    <xf numFmtId="0" fontId="2" fillId="6" borderId="3"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4" xfId="0" applyFont="1" applyFill="1" applyBorder="1" applyAlignment="1">
      <alignment horizontal="center" vertical="center"/>
    </xf>
    <xf numFmtId="0" fontId="36" fillId="0" borderId="8" xfId="0" applyFont="1" applyBorder="1" applyAlignment="1">
      <alignment horizontal="center" vertical="center"/>
    </xf>
    <xf numFmtId="15" fontId="35" fillId="17" borderId="8" xfId="0" applyNumberFormat="1" applyFont="1" applyFill="1" applyBorder="1" applyAlignment="1">
      <alignment horizontal="center" vertical="center"/>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16" fillId="0" borderId="2" xfId="0" applyFont="1" applyBorder="1" applyAlignment="1">
      <alignment horizontal="center" vertical="center" textRotation="90" wrapText="1"/>
    </xf>
    <xf numFmtId="0" fontId="16" fillId="0" borderId="5" xfId="0" applyFont="1" applyBorder="1" applyAlignment="1">
      <alignment horizontal="center" vertical="center" textRotation="90" wrapText="1"/>
    </xf>
    <xf numFmtId="0" fontId="16" fillId="0" borderId="6" xfId="0" applyFont="1" applyBorder="1" applyAlignment="1">
      <alignment horizontal="center" vertical="center" textRotation="90" wrapText="1"/>
    </xf>
    <xf numFmtId="0" fontId="16" fillId="16" borderId="2" xfId="0" applyFont="1" applyFill="1" applyBorder="1" applyAlignment="1">
      <alignment horizontal="center" vertical="center" textRotation="90" wrapText="1"/>
    </xf>
    <xf numFmtId="0" fontId="16" fillId="16" borderId="5" xfId="0" applyFont="1" applyFill="1" applyBorder="1" applyAlignment="1">
      <alignment horizontal="center" vertical="center" textRotation="90" wrapText="1"/>
    </xf>
    <xf numFmtId="0" fontId="16" fillId="16" borderId="6" xfId="0" applyFont="1" applyFill="1" applyBorder="1" applyAlignment="1">
      <alignment horizontal="center" vertical="center" textRotation="90" wrapText="1"/>
    </xf>
    <xf numFmtId="0" fontId="32" fillId="0" borderId="3"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4" xfId="0" applyFont="1" applyBorder="1" applyAlignment="1">
      <alignment horizontal="center" vertical="center" wrapText="1"/>
    </xf>
    <xf numFmtId="0" fontId="30" fillId="19" borderId="1" xfId="0" applyFont="1" applyFill="1" applyBorder="1" applyAlignment="1">
      <alignment horizontal="center" vertical="center" textRotation="90" wrapText="1"/>
    </xf>
    <xf numFmtId="0" fontId="36" fillId="0" borderId="13" xfId="0" applyFont="1" applyBorder="1" applyAlignment="1">
      <alignment horizontal="center" vertical="center"/>
    </xf>
    <xf numFmtId="0" fontId="35" fillId="17" borderId="13" xfId="0" applyFont="1" applyFill="1" applyBorder="1" applyAlignment="1">
      <alignment horizontal="center" vertical="center"/>
    </xf>
    <xf numFmtId="0" fontId="30" fillId="13" borderId="1" xfId="0" applyFont="1" applyFill="1" applyBorder="1" applyAlignment="1">
      <alignment horizontal="center" vertical="center"/>
    </xf>
    <xf numFmtId="0" fontId="8" fillId="3" borderId="1" xfId="0" applyFont="1" applyFill="1" applyBorder="1" applyAlignment="1">
      <alignment horizontal="center" vertical="center"/>
    </xf>
    <xf numFmtId="0" fontId="30" fillId="13" borderId="1" xfId="0" applyFont="1" applyFill="1" applyBorder="1" applyAlignment="1">
      <alignment horizontal="center" vertical="center" wrapText="1"/>
    </xf>
    <xf numFmtId="0" fontId="7" fillId="0" borderId="13" xfId="0" applyFont="1" applyBorder="1" applyAlignment="1">
      <alignment horizontal="center" vertical="center"/>
    </xf>
    <xf numFmtId="0" fontId="31" fillId="0" borderId="1" xfId="0" applyFont="1" applyBorder="1" applyAlignment="1">
      <alignment horizontal="center" vertical="center" wrapText="1"/>
    </xf>
    <xf numFmtId="0" fontId="30" fillId="0" borderId="1" xfId="0" applyFont="1" applyBorder="1" applyAlignment="1">
      <alignment horizontal="center" vertical="center" textRotation="90" wrapText="1"/>
    </xf>
    <xf numFmtId="0" fontId="27" fillId="18" borderId="1" xfId="0" applyFont="1" applyFill="1" applyBorder="1" applyAlignment="1">
      <alignment horizontal="center" vertical="center"/>
    </xf>
    <xf numFmtId="0" fontId="8" fillId="0" borderId="1" xfId="0" applyFont="1" applyBorder="1" applyAlignment="1">
      <alignment horizontal="center" vertical="center"/>
    </xf>
    <xf numFmtId="0" fontId="1" fillId="3" borderId="1" xfId="0" applyFont="1" applyFill="1" applyBorder="1" applyAlignment="1">
      <alignment horizontal="center" vertical="center"/>
    </xf>
    <xf numFmtId="0" fontId="30" fillId="0" borderId="26" xfId="0" applyFont="1" applyBorder="1" applyAlignment="1">
      <alignment horizontal="center" vertical="center" textRotation="90" wrapText="1"/>
    </xf>
    <xf numFmtId="0" fontId="30" fillId="0" borderId="34" xfId="0" applyFont="1" applyBorder="1" applyAlignment="1">
      <alignment horizontal="center" vertical="center" textRotation="90" wrapText="1"/>
    </xf>
    <xf numFmtId="0" fontId="29" fillId="13" borderId="26" xfId="0" applyFont="1" applyFill="1" applyBorder="1" applyAlignment="1">
      <alignment horizontal="center" vertical="center" wrapText="1"/>
    </xf>
    <xf numFmtId="0" fontId="13" fillId="0" borderId="31" xfId="0" applyFont="1" applyBorder="1"/>
    <xf numFmtId="0" fontId="29" fillId="13" borderId="24" xfId="0" applyFont="1" applyFill="1" applyBorder="1" applyAlignment="1">
      <alignment horizontal="center" vertical="center" wrapText="1"/>
    </xf>
    <xf numFmtId="0" fontId="13" fillId="0" borderId="25" xfId="0" applyFont="1" applyBorder="1"/>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30" fillId="20" borderId="27" xfId="0" applyFont="1" applyFill="1" applyBorder="1" applyAlignment="1">
      <alignment horizontal="center" vertical="center" textRotation="90" wrapText="1"/>
    </xf>
    <xf numFmtId="0" fontId="30" fillId="20" borderId="0" xfId="0" applyFont="1" applyFill="1" applyAlignment="1">
      <alignment horizontal="center" vertical="center" textRotation="90" wrapText="1"/>
    </xf>
    <xf numFmtId="0" fontId="31" fillId="0" borderId="3"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8" fillId="3" borderId="3"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xf>
    <xf numFmtId="0" fontId="29" fillId="18" borderId="28" xfId="0" applyFont="1" applyFill="1" applyBorder="1" applyAlignment="1">
      <alignment horizontal="center" vertical="center"/>
    </xf>
    <xf numFmtId="0" fontId="29" fillId="18" borderId="14" xfId="0" applyFont="1" applyFill="1" applyBorder="1" applyAlignment="1">
      <alignment horizontal="center" vertical="center"/>
    </xf>
    <xf numFmtId="0" fontId="29" fillId="13" borderId="29" xfId="0" applyFont="1" applyFill="1" applyBorder="1" applyAlignment="1">
      <alignment horizontal="center" vertical="center" wrapText="1"/>
    </xf>
    <xf numFmtId="0" fontId="13" fillId="0" borderId="30" xfId="0" applyFont="1" applyBorder="1" applyAlignment="1">
      <alignment horizontal="center"/>
    </xf>
    <xf numFmtId="0" fontId="13" fillId="0" borderId="31" xfId="0" applyFont="1" applyBorder="1" applyAlignment="1">
      <alignment horizontal="center"/>
    </xf>
    <xf numFmtId="0" fontId="13" fillId="3" borderId="3"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4" xfId="0" applyFont="1" applyFill="1" applyBorder="1" applyAlignment="1">
      <alignment horizontal="center" vertical="center"/>
    </xf>
    <xf numFmtId="0" fontId="13" fillId="0" borderId="32" xfId="0" applyFont="1" applyBorder="1"/>
    <xf numFmtId="0" fontId="29" fillId="13" borderId="24" xfId="0" applyFont="1" applyFill="1" applyBorder="1" applyAlignment="1">
      <alignment horizontal="center" vertical="center"/>
    </xf>
    <xf numFmtId="0" fontId="29" fillId="13" borderId="33" xfId="0" applyFont="1" applyFill="1" applyBorder="1" applyAlignment="1">
      <alignment horizontal="center" vertical="center"/>
    </xf>
    <xf numFmtId="0" fontId="29" fillId="13" borderId="0" xfId="0" applyFont="1" applyFill="1" applyAlignment="1">
      <alignment horizontal="center" vertical="center"/>
    </xf>
    <xf numFmtId="0" fontId="8" fillId="0" borderId="8" xfId="0" applyFont="1" applyBorder="1" applyAlignment="1">
      <alignment horizontal="center" vertical="center"/>
    </xf>
    <xf numFmtId="0" fontId="37" fillId="17" borderId="8" xfId="0" applyFont="1" applyFill="1" applyBorder="1" applyAlignment="1">
      <alignment horizontal="center" vertical="center"/>
    </xf>
    <xf numFmtId="0" fontId="37" fillId="0" borderId="8" xfId="0" applyFont="1" applyBorder="1" applyAlignment="1">
      <alignment horizontal="center" vertical="center"/>
    </xf>
    <xf numFmtId="15" fontId="37" fillId="17" borderId="8" xfId="0" applyNumberFormat="1" applyFont="1" applyFill="1" applyBorder="1" applyAlignment="1">
      <alignment horizontal="center" vertical="center"/>
    </xf>
    <xf numFmtId="0" fontId="2" fillId="4" borderId="3"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4" xfId="0" applyFont="1" applyFill="1" applyBorder="1" applyAlignment="1">
      <alignment horizontal="center" vertical="center"/>
    </xf>
    <xf numFmtId="0" fontId="24" fillId="17" borderId="8"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4" fillId="0" borderId="8" xfId="0" applyFont="1" applyBorder="1" applyAlignment="1">
      <alignment horizontal="center" vertical="center"/>
    </xf>
    <xf numFmtId="15" fontId="24" fillId="17" borderId="8" xfId="0" applyNumberFormat="1" applyFont="1" applyFill="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5" fillId="3" borderId="3" xfId="0" applyFont="1" applyFill="1" applyBorder="1" applyAlignment="1">
      <alignment horizontal="center" vertical="center"/>
    </xf>
    <xf numFmtId="0" fontId="15" fillId="3" borderId="7" xfId="0" applyFont="1" applyFill="1" applyBorder="1" applyAlignment="1">
      <alignment horizontal="center" vertical="center"/>
    </xf>
    <xf numFmtId="0" fontId="15" fillId="3" borderId="4" xfId="0" applyFont="1" applyFill="1" applyBorder="1" applyAlignment="1">
      <alignment horizontal="center" vertical="center"/>
    </xf>
    <xf numFmtId="0" fontId="14" fillId="0" borderId="2" xfId="0" applyFont="1" applyBorder="1" applyAlignment="1">
      <alignment horizontal="center" vertical="center" textRotation="90" wrapText="1"/>
    </xf>
    <xf numFmtId="0" fontId="14" fillId="0" borderId="5" xfId="0" applyFont="1" applyBorder="1" applyAlignment="1">
      <alignment horizontal="center" vertical="center" textRotation="90" wrapText="1"/>
    </xf>
    <xf numFmtId="0" fontId="14" fillId="0" borderId="6" xfId="0" applyFont="1" applyBorder="1" applyAlignment="1">
      <alignment horizontal="center" vertical="center" textRotation="90" wrapText="1"/>
    </xf>
    <xf numFmtId="0" fontId="14" fillId="21" borderId="2" xfId="0" applyFont="1" applyFill="1" applyBorder="1" applyAlignment="1">
      <alignment horizontal="center" vertical="center" textRotation="90" wrapText="1"/>
    </xf>
    <xf numFmtId="0" fontId="14" fillId="21" borderId="5" xfId="0" applyFont="1" applyFill="1" applyBorder="1" applyAlignment="1">
      <alignment horizontal="center" vertical="center" textRotation="90"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14" fillId="3" borderId="3"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4" xfId="0" applyFont="1" applyFill="1" applyBorder="1" applyAlignment="1">
      <alignment horizontal="center" vertical="center"/>
    </xf>
    <xf numFmtId="0" fontId="3" fillId="22" borderId="2" xfId="0" applyFont="1" applyFill="1" applyBorder="1" applyAlignment="1">
      <alignment horizontal="center" vertical="center" textRotation="90" wrapText="1"/>
    </xf>
    <xf numFmtId="0" fontId="3" fillId="22" borderId="5" xfId="0" applyFont="1" applyFill="1" applyBorder="1" applyAlignment="1">
      <alignment horizontal="center" vertical="center" textRotation="90" wrapText="1"/>
    </xf>
    <xf numFmtId="0" fontId="3" fillId="22" borderId="6" xfId="0" applyFont="1" applyFill="1" applyBorder="1" applyAlignment="1">
      <alignment horizontal="center" vertical="center" textRotation="90" wrapText="1"/>
    </xf>
    <xf numFmtId="0" fontId="23" fillId="0" borderId="3"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4" xfId="0" applyFont="1" applyBorder="1" applyAlignment="1">
      <alignment horizontal="center" vertical="center" wrapText="1"/>
    </xf>
    <xf numFmtId="0" fontId="2" fillId="6" borderId="15" xfId="0" applyFont="1" applyFill="1" applyBorder="1" applyAlignment="1">
      <alignment horizontal="center" vertical="center"/>
    </xf>
    <xf numFmtId="0" fontId="2" fillId="6" borderId="0" xfId="0" applyFont="1" applyFill="1" applyAlignment="1">
      <alignment horizontal="center" vertical="center"/>
    </xf>
    <xf numFmtId="0" fontId="3" fillId="4" borderId="12" xfId="0" applyFont="1" applyFill="1" applyBorder="1" applyAlignment="1">
      <alignment horizontal="center" vertical="center"/>
    </xf>
    <xf numFmtId="0" fontId="3" fillId="4" borderId="16"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4" xfId="0" applyFont="1" applyFill="1" applyBorder="1" applyAlignment="1">
      <alignment horizontal="center" vertical="center"/>
    </xf>
    <xf numFmtId="0" fontId="38" fillId="0" borderId="17" xfId="5" applyFont="1" applyBorder="1" applyAlignment="1">
      <alignment horizontal="center" wrapText="1"/>
    </xf>
    <xf numFmtId="0" fontId="38" fillId="0" borderId="18" xfId="5" applyFont="1" applyBorder="1" applyAlignment="1">
      <alignment horizontal="center" wrapText="1"/>
    </xf>
    <xf numFmtId="0" fontId="38" fillId="0" borderId="19" xfId="5" applyFont="1" applyBorder="1" applyAlignment="1">
      <alignment horizontal="center" wrapText="1"/>
    </xf>
    <xf numFmtId="0" fontId="38" fillId="0" borderId="20" xfId="5" applyFont="1" applyBorder="1" applyAlignment="1">
      <alignment horizontal="center" wrapText="1"/>
    </xf>
    <xf numFmtId="0" fontId="39" fillId="23" borderId="35" xfId="0" applyFont="1" applyFill="1" applyBorder="1" applyAlignment="1">
      <alignment horizontal="center" vertical="center"/>
    </xf>
    <xf numFmtId="0" fontId="39" fillId="23" borderId="36" xfId="0" applyFont="1" applyFill="1" applyBorder="1" applyAlignment="1">
      <alignment horizontal="center" vertical="center"/>
    </xf>
    <xf numFmtId="0" fontId="0" fillId="0" borderId="1" xfId="0" applyBorder="1" applyAlignment="1">
      <alignment horizontal="left"/>
    </xf>
    <xf numFmtId="0" fontId="24" fillId="0" borderId="3" xfId="0" applyFont="1" applyBorder="1" applyAlignment="1">
      <alignment horizontal="center" vertical="center" wrapText="1"/>
    </xf>
    <xf numFmtId="0" fontId="24" fillId="0" borderId="7" xfId="0" applyFont="1" applyBorder="1" applyAlignment="1">
      <alignment horizontal="center" vertical="center"/>
    </xf>
    <xf numFmtId="0" fontId="24" fillId="0" borderId="4" xfId="0" applyFont="1" applyBorder="1" applyAlignment="1">
      <alignment horizontal="center" vertical="center"/>
    </xf>
    <xf numFmtId="0" fontId="0" fillId="0" borderId="1" xfId="0" applyBorder="1" applyAlignment="1">
      <alignment horizontal="justify" vertical="center" wrapText="1"/>
    </xf>
    <xf numFmtId="0" fontId="1" fillId="0" borderId="1" xfId="0" applyFont="1" applyBorder="1" applyAlignment="1">
      <alignment horizontal="justify" vertical="center" wrapText="1"/>
    </xf>
    <xf numFmtId="0" fontId="24" fillId="0" borderId="1" xfId="0" applyFont="1" applyBorder="1" applyAlignment="1">
      <alignment horizontal="center" vertical="center"/>
    </xf>
    <xf numFmtId="0" fontId="22" fillId="0" borderId="1" xfId="0" applyFont="1" applyBorder="1" applyAlignment="1">
      <alignment horizontal="center" vertical="center" wrapText="1"/>
    </xf>
    <xf numFmtId="0" fontId="0" fillId="0" borderId="1" xfId="0" applyBorder="1" applyAlignment="1">
      <alignment horizontal="center" vertical="center"/>
    </xf>
    <xf numFmtId="0" fontId="25" fillId="8"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3" borderId="1" xfId="0" applyFill="1" applyBorder="1" applyAlignment="1">
      <alignment horizontal="justify" vertical="center" wrapText="1"/>
    </xf>
    <xf numFmtId="0" fontId="22" fillId="0" borderId="1" xfId="0" applyFont="1" applyBorder="1" applyAlignment="1">
      <alignment horizontal="center" vertical="center"/>
    </xf>
    <xf numFmtId="0" fontId="24" fillId="3" borderId="3" xfId="0" applyFont="1" applyFill="1" applyBorder="1" applyAlignment="1">
      <alignment horizontal="center" vertical="center" wrapText="1"/>
    </xf>
    <xf numFmtId="0" fontId="24" fillId="3" borderId="7" xfId="0" applyFont="1" applyFill="1" applyBorder="1" applyAlignment="1">
      <alignment horizontal="center" vertical="center"/>
    </xf>
    <xf numFmtId="0" fontId="24" fillId="3" borderId="4" xfId="0" applyFont="1" applyFill="1" applyBorder="1" applyAlignment="1">
      <alignment horizontal="center" vertical="center"/>
    </xf>
    <xf numFmtId="0" fontId="22" fillId="0" borderId="11" xfId="0" applyFont="1" applyBorder="1" applyAlignment="1">
      <alignment horizontal="center" vertical="center"/>
    </xf>
    <xf numFmtId="0" fontId="22" fillId="0" borderId="21" xfId="0" applyFont="1" applyBorder="1" applyAlignment="1">
      <alignment horizontal="center" vertical="center"/>
    </xf>
    <xf numFmtId="0" fontId="22" fillId="0" borderId="12" xfId="0" applyFont="1" applyBorder="1" applyAlignment="1">
      <alignment horizontal="center" vertical="center"/>
    </xf>
    <xf numFmtId="0" fontId="22" fillId="0" borderId="22" xfId="0" applyFont="1" applyBorder="1" applyAlignment="1">
      <alignment horizontal="center" vertical="center"/>
    </xf>
    <xf numFmtId="0" fontId="24" fillId="3" borderId="3" xfId="0" applyFont="1" applyFill="1" applyBorder="1" applyAlignment="1">
      <alignment horizontal="center"/>
    </xf>
    <xf numFmtId="0" fontId="24" fillId="3" borderId="7" xfId="0" applyFont="1" applyFill="1" applyBorder="1" applyAlignment="1">
      <alignment horizontal="center"/>
    </xf>
    <xf numFmtId="0" fontId="24" fillId="3" borderId="4" xfId="0" applyFont="1" applyFill="1" applyBorder="1" applyAlignment="1">
      <alignment horizontal="center"/>
    </xf>
    <xf numFmtId="0" fontId="24" fillId="3" borderId="1" xfId="0" applyFont="1" applyFill="1" applyBorder="1" applyAlignment="1">
      <alignment horizontal="center"/>
    </xf>
  </cellXfs>
  <cellStyles count="6">
    <cellStyle name="Hipervínculo 2" xfId="1" xr:uid="{00000000-0005-0000-0000-000000000000}"/>
    <cellStyle name="Normal" xfId="0" builtinId="0"/>
    <cellStyle name="Normal 2" xfId="2" xr:uid="{00000000-0005-0000-0000-000002000000}"/>
    <cellStyle name="Normal 2 13" xfId="3" xr:uid="{00000000-0005-0000-0000-000003000000}"/>
    <cellStyle name="Normal 3" xfId="4" xr:uid="{00000000-0005-0000-0000-000004000000}"/>
    <cellStyle name="Normal 4" xfId="5" xr:uid="{00000000-0005-0000-0000-000005000000}"/>
  </cellStyles>
  <dxfs count="213">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ill>
        <patternFill patternType="solid">
          <fgColor rgb="FFFFFF00"/>
          <bgColor rgb="FFFFFF00"/>
        </patternFill>
      </fill>
    </dxf>
    <dxf>
      <fill>
        <patternFill patternType="solid">
          <fgColor theme="5"/>
          <bgColor theme="5"/>
        </patternFill>
      </fill>
    </dxf>
    <dxf>
      <fill>
        <patternFill patternType="solid">
          <fgColor rgb="FFFF0000"/>
          <bgColor rgb="FFFF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ill>
        <patternFill patternType="solid">
          <fgColor rgb="FFFFFF00"/>
          <bgColor rgb="FFFFFF00"/>
        </patternFill>
      </fill>
    </dxf>
    <dxf>
      <fill>
        <patternFill patternType="solid">
          <fgColor theme="5"/>
          <bgColor theme="5"/>
        </patternFill>
      </fill>
    </dxf>
    <dxf>
      <fill>
        <patternFill patternType="solid">
          <fgColor rgb="FFFF0000"/>
          <bgColor rgb="FFFF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92D050"/>
          <bgColor rgb="FF92D05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FF00"/>
          <bgColor rgb="FFFFFF00"/>
        </patternFill>
      </fill>
    </dxf>
    <dxf>
      <fill>
        <patternFill patternType="solid">
          <fgColor rgb="FF92D050"/>
          <bgColor rgb="FF92D05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C000"/>
          <bgColor rgb="FFFFC000"/>
        </patternFill>
      </fill>
    </dxf>
    <dxf>
      <fill>
        <patternFill patternType="solid">
          <fgColor rgb="FFFFFF00"/>
          <bgColor rgb="FFFFFF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FF00"/>
          <bgColor rgb="FFFFFF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FF00"/>
          <bgColor rgb="FFFFFF00"/>
        </patternFill>
      </fill>
    </dxf>
    <dxf>
      <font>
        <b/>
        <i val="0"/>
      </font>
      <fill>
        <patternFill>
          <bgColor rgb="FFFFFF00"/>
        </patternFill>
      </fill>
    </dxf>
    <dxf>
      <font>
        <b/>
        <i val="0"/>
        <color theme="0"/>
      </font>
      <fill>
        <patternFill>
          <bgColor rgb="FFC00000"/>
        </patternFill>
      </fill>
    </dxf>
    <dxf>
      <font>
        <b/>
        <i val="0"/>
      </font>
      <fill>
        <patternFill>
          <bgColor rgb="FFFFC000"/>
        </patternFill>
      </fill>
    </dxf>
    <dxf>
      <font>
        <b/>
        <i val="0"/>
      </font>
      <fill>
        <patternFill>
          <bgColor rgb="FF92D05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ont>
        <b/>
        <i val="0"/>
        <color theme="0"/>
      </font>
      <fill>
        <patternFill>
          <bgColor rgb="FFC00000"/>
        </patternFill>
      </fill>
    </dxf>
    <dxf>
      <font>
        <b/>
        <i val="0"/>
      </font>
      <fill>
        <patternFill>
          <bgColor rgb="FFFFC000"/>
        </patternFill>
      </fill>
    </dxf>
    <dxf>
      <font>
        <b/>
        <i val="0"/>
      </font>
      <fill>
        <patternFill>
          <bgColor rgb="FFFFFF00"/>
        </patternFill>
      </fill>
    </dxf>
    <dxf>
      <font>
        <b/>
        <i val="0"/>
      </font>
      <fill>
        <patternFill>
          <bgColor rgb="FF92D050"/>
        </patternFill>
      </fill>
    </dxf>
    <dxf>
      <font>
        <b/>
        <color theme="0"/>
      </font>
      <fill>
        <patternFill patternType="solid">
          <fgColor rgb="FFC00000"/>
          <bgColor rgb="FFC0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ill>
        <patternFill patternType="solid">
          <fgColor rgb="FFFF0000"/>
          <bgColor rgb="FFFF0000"/>
        </patternFill>
      </fill>
    </dxf>
    <dxf>
      <fill>
        <patternFill patternType="solid">
          <fgColor theme="5"/>
          <bgColor theme="5"/>
        </patternFill>
      </fill>
    </dxf>
    <dxf>
      <fill>
        <patternFill patternType="solid">
          <fgColor rgb="FFFFFF00"/>
          <bgColor rgb="FFFFFF00"/>
        </patternFill>
      </fill>
    </dxf>
    <dxf>
      <font>
        <b/>
        <i val="0"/>
      </font>
      <fill>
        <patternFill>
          <bgColor rgb="FFFFC000"/>
        </patternFill>
      </fill>
    </dxf>
    <dxf>
      <font>
        <b/>
        <i val="0"/>
        <color theme="0"/>
      </font>
      <fill>
        <patternFill>
          <bgColor rgb="FFC00000"/>
        </patternFill>
      </fill>
    </dxf>
    <dxf>
      <font>
        <b/>
        <i val="0"/>
      </font>
      <fill>
        <patternFill>
          <bgColor rgb="FF92D050"/>
        </patternFill>
      </fill>
    </dxf>
    <dxf>
      <font>
        <b/>
        <i val="0"/>
      </font>
      <fill>
        <patternFill>
          <bgColor rgb="FFFFFF00"/>
        </patternFill>
      </fill>
    </dxf>
    <dxf>
      <font>
        <b/>
        <color theme="0"/>
      </font>
      <fill>
        <patternFill patternType="solid">
          <fgColor rgb="FFC00000"/>
          <bgColor rgb="FFC0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ill>
        <patternFill patternType="solid">
          <fgColor rgb="FFFFFF00"/>
          <bgColor rgb="FFFFFF00"/>
        </patternFill>
      </fill>
    </dxf>
    <dxf>
      <fill>
        <patternFill patternType="solid">
          <fgColor theme="5"/>
          <bgColor theme="5"/>
        </patternFill>
      </fill>
    </dxf>
    <dxf>
      <fill>
        <patternFill patternType="solid">
          <fgColor rgb="FFFF0000"/>
          <bgColor rgb="FFFF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ill>
        <patternFill patternType="solid">
          <fgColor rgb="FFFFFF00"/>
          <bgColor rgb="FFFFFF00"/>
        </patternFill>
      </fill>
    </dxf>
    <dxf>
      <fill>
        <patternFill patternType="solid">
          <fgColor theme="5"/>
          <bgColor theme="5"/>
        </patternFill>
      </fill>
    </dxf>
    <dxf>
      <fill>
        <patternFill patternType="solid">
          <fgColor rgb="FFFF0000"/>
          <bgColor rgb="FFFF0000"/>
        </patternFill>
      </fill>
    </dxf>
    <dxf>
      <font>
        <b/>
      </font>
      <fill>
        <patternFill patternType="solid">
          <fgColor rgb="FF92D050"/>
          <bgColor rgb="FF92D050"/>
        </patternFill>
      </fill>
    </dxf>
    <dxf>
      <font>
        <b/>
      </font>
      <fill>
        <patternFill patternType="solid">
          <fgColor rgb="FFFFFF00"/>
          <bgColor rgb="FFFFFF00"/>
        </patternFill>
      </fill>
    </dxf>
    <dxf>
      <font>
        <b/>
      </font>
      <fill>
        <patternFill patternType="solid">
          <fgColor rgb="FFFFC000"/>
          <bgColor rgb="FFFFC000"/>
        </patternFill>
      </fill>
    </dxf>
    <dxf>
      <font>
        <b/>
        <color theme="0"/>
      </font>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161925</xdr:colOff>
      <xdr:row>0</xdr:row>
      <xdr:rowOff>171450</xdr:rowOff>
    </xdr:from>
    <xdr:to>
      <xdr:col>1</xdr:col>
      <xdr:colOff>561975</xdr:colOff>
      <xdr:row>3</xdr:row>
      <xdr:rowOff>180975</xdr:rowOff>
    </xdr:to>
    <xdr:pic>
      <xdr:nvPicPr>
        <xdr:cNvPr id="3" name="Imagen 2">
          <a:extLst>
            <a:ext uri="{FF2B5EF4-FFF2-40B4-BE49-F238E27FC236}">
              <a16:creationId xmlns:a16="http://schemas.microsoft.com/office/drawing/2014/main" id="{95067A61-AA34-87F7-BA4D-50A059A8BB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71450"/>
          <a:ext cx="1157720" cy="9079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352425</xdr:colOff>
      <xdr:row>0</xdr:row>
      <xdr:rowOff>57150</xdr:rowOff>
    </xdr:from>
    <xdr:to>
      <xdr:col>1</xdr:col>
      <xdr:colOff>752475</xdr:colOff>
      <xdr:row>3</xdr:row>
      <xdr:rowOff>66675</xdr:rowOff>
    </xdr:to>
    <xdr:pic>
      <xdr:nvPicPr>
        <xdr:cNvPr id="3" name="Imagen 2">
          <a:extLst>
            <a:ext uri="{FF2B5EF4-FFF2-40B4-BE49-F238E27FC236}">
              <a16:creationId xmlns:a16="http://schemas.microsoft.com/office/drawing/2014/main" id="{A0E2C67D-AD09-4B16-59D9-E032B697ADF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57150"/>
          <a:ext cx="1162050" cy="8905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161925</xdr:rowOff>
    </xdr:from>
    <xdr:to>
      <xdr:col>1</xdr:col>
      <xdr:colOff>1038225</xdr:colOff>
      <xdr:row>3</xdr:row>
      <xdr:rowOff>171450</xdr:rowOff>
    </xdr:to>
    <xdr:pic>
      <xdr:nvPicPr>
        <xdr:cNvPr id="3" name="Imagen 2">
          <a:extLst>
            <a:ext uri="{FF2B5EF4-FFF2-40B4-BE49-F238E27FC236}">
              <a16:creationId xmlns:a16="http://schemas.microsoft.com/office/drawing/2014/main" id="{1C0441C1-F274-61DB-B5E9-0B8194F1326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1925"/>
          <a:ext cx="1914525" cy="9048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0</xdr:row>
      <xdr:rowOff>133350</xdr:rowOff>
    </xdr:from>
    <xdr:to>
      <xdr:col>1</xdr:col>
      <xdr:colOff>676275</xdr:colOff>
      <xdr:row>3</xdr:row>
      <xdr:rowOff>142875</xdr:rowOff>
    </xdr:to>
    <xdr:pic>
      <xdr:nvPicPr>
        <xdr:cNvPr id="3" name="Imagen 2">
          <a:extLst>
            <a:ext uri="{FF2B5EF4-FFF2-40B4-BE49-F238E27FC236}">
              <a16:creationId xmlns:a16="http://schemas.microsoft.com/office/drawing/2014/main" id="{5D11393E-E332-73BC-644B-95772000E10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33350"/>
          <a:ext cx="1470764" cy="8967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142875</xdr:rowOff>
    </xdr:from>
    <xdr:to>
      <xdr:col>1</xdr:col>
      <xdr:colOff>1123950</xdr:colOff>
      <xdr:row>3</xdr:row>
      <xdr:rowOff>152400</xdr:rowOff>
    </xdr:to>
    <xdr:pic>
      <xdr:nvPicPr>
        <xdr:cNvPr id="3" name="Imagen 2">
          <a:extLst>
            <a:ext uri="{FF2B5EF4-FFF2-40B4-BE49-F238E27FC236}">
              <a16:creationId xmlns:a16="http://schemas.microsoft.com/office/drawing/2014/main" id="{19C8662C-EDA7-865E-4FBB-FD66846B952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42875"/>
          <a:ext cx="1885950" cy="9059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10.21.87.40:8085/Users/USER/Downloads/PANORAMA%20DE%20FACTORES%20DE%20REISGO%20mapfre%20calle%201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LE 123"/>
      <sheetName val="PRIORIZACIÓN"/>
      <sheetName val="Criterios"/>
      <sheetName val="Clasificacion Peligros"/>
    </sheetNames>
    <sheetDataSet>
      <sheetData sheetId="0"/>
      <sheetData sheetId="1"/>
      <sheetData sheetId="2">
        <row r="8">
          <cell r="D8" t="str">
            <v>Consecuencias_muy_significativas_medidas_ineficientes</v>
          </cell>
          <cell r="E8" t="str">
            <v>EC</v>
          </cell>
        </row>
        <row r="9">
          <cell r="D9" t="str">
            <v>Consecuencias_significativas_medidas_bajas</v>
          </cell>
          <cell r="E9" t="str">
            <v>EF</v>
          </cell>
        </row>
        <row r="10">
          <cell r="D10" t="str">
            <v>Consecuencias_poco_significativas_medidas_moderadas</v>
          </cell>
          <cell r="E10" t="str">
            <v>EO</v>
          </cell>
        </row>
        <row r="11">
          <cell r="D11" t="str">
            <v>Riesgo_controlado</v>
          </cell>
          <cell r="E11" t="str">
            <v>EE</v>
          </cell>
        </row>
        <row r="15">
          <cell r="A15" t="str">
            <v>Muy Alto (MA) 40-24</v>
          </cell>
        </row>
        <row r="16">
          <cell r="A16" t="str">
            <v>Alto (A) 20 - 10</v>
          </cell>
          <cell r="G16" t="str">
            <v>M</v>
          </cell>
        </row>
        <row r="17">
          <cell r="A17" t="str">
            <v>Medio (M) 8 - 6</v>
          </cell>
          <cell r="G17" t="str">
            <v>MG</v>
          </cell>
        </row>
        <row r="18">
          <cell r="A18" t="str">
            <v>Bajo (B) 4 - 2</v>
          </cell>
          <cell r="G18" t="str">
            <v>G</v>
          </cell>
        </row>
        <row r="19">
          <cell r="G19" t="str">
            <v>L</v>
          </cell>
        </row>
        <row r="22">
          <cell r="D22" t="str">
            <v>No Aceptable 4000 - 600</v>
          </cell>
        </row>
        <row r="23">
          <cell r="D23" t="str">
            <v>No Aceptable o Aceptable con control específico 500 - 150</v>
          </cell>
        </row>
        <row r="24">
          <cell r="D24" t="str">
            <v>Aceptable 120 - 40</v>
          </cell>
        </row>
        <row r="25">
          <cell r="D25" t="str">
            <v>Aceptable 20</v>
          </cell>
        </row>
      </sheetData>
      <sheetData sheetId="3">
        <row r="3">
          <cell r="A3" t="str">
            <v>BIOLOGICO</v>
          </cell>
        </row>
        <row r="4">
          <cell r="A4" t="str">
            <v>FISICO</v>
          </cell>
        </row>
        <row r="5">
          <cell r="A5" t="str">
            <v>QUIMICO</v>
          </cell>
        </row>
        <row r="6">
          <cell r="A6" t="str">
            <v>PSICOSOCIAL</v>
          </cell>
        </row>
        <row r="7">
          <cell r="A7" t="str">
            <v>BIOMECANICO</v>
          </cell>
        </row>
        <row r="8">
          <cell r="A8" t="str">
            <v>CONDICIONES_SEGURIDAD</v>
          </cell>
        </row>
        <row r="9">
          <cell r="A9" t="str">
            <v>FENOMENOS_NATURALES</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theme="4" tint="-0.249977111117893"/>
  </sheetPr>
  <dimension ref="A1:AJ38"/>
  <sheetViews>
    <sheetView zoomScale="88" zoomScaleNormal="80" workbookViewId="0">
      <selection sqref="A1:AJ38"/>
    </sheetView>
  </sheetViews>
  <sheetFormatPr baseColWidth="10" defaultRowHeight="12.75" x14ac:dyDescent="0.2"/>
  <cols>
    <col min="1" max="2" width="11.42578125" style="12"/>
    <col min="3" max="3" width="9.140625" style="12" customWidth="1"/>
    <col min="4" max="4" width="16.85546875" style="12" customWidth="1"/>
    <col min="5" max="5" width="22.140625" style="12" customWidth="1"/>
    <col min="6" max="6" width="14.28515625" style="12" customWidth="1"/>
    <col min="7" max="7" width="19.85546875" style="12" customWidth="1"/>
    <col min="8" max="8" width="39.140625" style="12" customWidth="1"/>
    <col min="9" max="9" width="24.85546875" style="12" customWidth="1"/>
    <col min="10" max="10" width="13.85546875" style="12" customWidth="1"/>
    <col min="11" max="11" width="15.5703125" style="12" customWidth="1"/>
    <col min="12" max="12" width="18.140625" style="12" customWidth="1"/>
    <col min="13" max="13" width="3" style="12" bestFit="1" customWidth="1"/>
    <col min="14" max="14" width="4.7109375" style="12" customWidth="1"/>
    <col min="15" max="15" width="4" style="12" bestFit="1" customWidth="1"/>
    <col min="16" max="16" width="27.7109375" style="12" customWidth="1"/>
    <col min="17" max="17" width="4" style="12" bestFit="1" customWidth="1"/>
    <col min="18" max="18" width="6.7109375" style="12" customWidth="1"/>
    <col min="19" max="19" width="32.28515625" style="12" bestFit="1" customWidth="1"/>
    <col min="20" max="20" width="14.140625" style="12" customWidth="1"/>
    <col min="21" max="21" width="14" style="12" customWidth="1"/>
    <col min="22" max="22" width="17.28515625" style="12" customWidth="1"/>
    <col min="23" max="23" width="19.5703125" style="12" customWidth="1"/>
    <col min="24" max="24" width="13.5703125" style="12" bestFit="1" customWidth="1"/>
    <col min="25" max="25" width="14.42578125" style="12" bestFit="1" customWidth="1"/>
    <col min="26" max="26" width="30.28515625" style="12" customWidth="1"/>
    <col min="27" max="27" width="27" style="12" customWidth="1"/>
    <col min="28" max="28" width="19.42578125" style="12" customWidth="1"/>
    <col min="29" max="29" width="28.5703125" style="12" customWidth="1"/>
    <col min="30" max="16384" width="11.42578125" style="12"/>
  </cols>
  <sheetData>
    <row r="1" spans="1:36" ht="24.75" customHeight="1" thickTop="1" thickBot="1" x14ac:dyDescent="0.25">
      <c r="A1" s="157"/>
      <c r="B1" s="157"/>
      <c r="C1" s="158" t="s">
        <v>587</v>
      </c>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61" t="s">
        <v>585</v>
      </c>
      <c r="AD1" s="49"/>
      <c r="AE1" s="49"/>
      <c r="AF1" s="49"/>
      <c r="AG1" s="49"/>
      <c r="AH1" s="49"/>
      <c r="AI1" s="49"/>
      <c r="AJ1" s="49"/>
    </row>
    <row r="2" spans="1:36" ht="21" customHeight="1" thickTop="1" thickBot="1" x14ac:dyDescent="0.25">
      <c r="A2" s="157"/>
      <c r="B2" s="157"/>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61"/>
      <c r="AD2" s="49"/>
      <c r="AE2" s="49"/>
      <c r="AF2" s="49"/>
      <c r="AG2" s="49"/>
      <c r="AH2" s="49"/>
      <c r="AI2" s="49"/>
      <c r="AJ2" s="49"/>
    </row>
    <row r="3" spans="1:36" ht="24.75" customHeight="1" thickTop="1" thickBot="1" x14ac:dyDescent="0.25">
      <c r="A3" s="157"/>
      <c r="B3" s="157"/>
      <c r="C3" s="168" t="s">
        <v>268</v>
      </c>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9" t="s">
        <v>586</v>
      </c>
      <c r="AD3" s="49"/>
      <c r="AE3" s="49"/>
      <c r="AF3" s="49"/>
      <c r="AG3" s="49"/>
      <c r="AH3" s="49"/>
      <c r="AI3" s="49"/>
      <c r="AJ3" s="49"/>
    </row>
    <row r="4" spans="1:36" ht="21.75" customHeight="1" thickTop="1" thickBot="1" x14ac:dyDescent="0.25">
      <c r="A4" s="157"/>
      <c r="B4" s="157"/>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1"/>
      <c r="AD4" s="49"/>
      <c r="AE4" s="49"/>
      <c r="AF4" s="49"/>
      <c r="AG4" s="49"/>
      <c r="AH4" s="49"/>
      <c r="AI4" s="49"/>
      <c r="AJ4" s="49"/>
    </row>
    <row r="5" spans="1:36" ht="23.25" customHeight="1" thickTop="1" x14ac:dyDescent="0.2">
      <c r="A5" s="159" t="s">
        <v>588</v>
      </c>
      <c r="B5" s="160"/>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49"/>
      <c r="AE5" s="49"/>
      <c r="AF5" s="49"/>
      <c r="AG5" s="49"/>
      <c r="AH5" s="49"/>
      <c r="AI5" s="49"/>
      <c r="AJ5" s="49"/>
    </row>
    <row r="6" spans="1:36" ht="25.5" customHeight="1" x14ac:dyDescent="0.2">
      <c r="A6" s="151" t="s">
        <v>278</v>
      </c>
      <c r="B6" s="152"/>
      <c r="C6" s="152"/>
      <c r="D6" s="152"/>
      <c r="E6" s="153"/>
      <c r="F6" s="162" t="s">
        <v>487</v>
      </c>
      <c r="G6" s="163"/>
      <c r="H6" s="163"/>
      <c r="I6" s="163"/>
      <c r="J6" s="163"/>
      <c r="K6" s="163"/>
      <c r="L6" s="163"/>
      <c r="M6" s="163"/>
      <c r="N6" s="163"/>
      <c r="O6" s="163"/>
      <c r="P6" s="163"/>
      <c r="Q6" s="163"/>
      <c r="R6" s="163"/>
      <c r="S6" s="163"/>
      <c r="T6" s="163"/>
      <c r="U6" s="163"/>
      <c r="V6" s="163"/>
      <c r="W6" s="163"/>
      <c r="X6" s="163"/>
      <c r="Y6" s="163"/>
      <c r="Z6" s="163"/>
      <c r="AA6" s="163"/>
      <c r="AB6" s="163"/>
      <c r="AC6" s="164"/>
      <c r="AD6" s="49"/>
      <c r="AE6" s="49"/>
      <c r="AF6" s="49"/>
      <c r="AG6" s="49"/>
      <c r="AH6" s="49"/>
      <c r="AI6" s="49"/>
      <c r="AJ6" s="49"/>
    </row>
    <row r="7" spans="1:36" ht="15.75" customHeight="1" x14ac:dyDescent="0.2">
      <c r="A7" s="165"/>
      <c r="B7" s="166"/>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7"/>
      <c r="AD7" s="49"/>
      <c r="AE7" s="49"/>
      <c r="AF7" s="49"/>
      <c r="AG7" s="49"/>
      <c r="AH7" s="49"/>
      <c r="AI7" s="49"/>
      <c r="AJ7" s="49"/>
    </row>
    <row r="8" spans="1:36" s="50" customFormat="1" ht="29.25" customHeight="1" x14ac:dyDescent="0.2">
      <c r="A8" s="170" t="s">
        <v>0</v>
      </c>
      <c r="B8" s="146" t="s">
        <v>109</v>
      </c>
      <c r="C8" s="146" t="s">
        <v>1</v>
      </c>
      <c r="D8" s="146" t="s">
        <v>2</v>
      </c>
      <c r="E8" s="146" t="s">
        <v>3</v>
      </c>
      <c r="F8" s="146" t="s">
        <v>4</v>
      </c>
      <c r="G8" s="154" t="s">
        <v>5</v>
      </c>
      <c r="H8" s="156"/>
      <c r="I8" s="146" t="s">
        <v>6</v>
      </c>
      <c r="J8" s="154" t="s">
        <v>7</v>
      </c>
      <c r="K8" s="155"/>
      <c r="L8" s="156"/>
      <c r="M8" s="148" t="s">
        <v>8</v>
      </c>
      <c r="N8" s="149"/>
      <c r="O8" s="149"/>
      <c r="P8" s="149"/>
      <c r="Q8" s="149"/>
      <c r="R8" s="149"/>
      <c r="S8" s="150"/>
      <c r="T8" s="2" t="s">
        <v>9</v>
      </c>
      <c r="U8" s="154" t="s">
        <v>10</v>
      </c>
      <c r="V8" s="155"/>
      <c r="W8" s="156"/>
      <c r="X8" s="148" t="s">
        <v>11</v>
      </c>
      <c r="Y8" s="149"/>
      <c r="Z8" s="149"/>
      <c r="AA8" s="149"/>
      <c r="AB8" s="149"/>
      <c r="AC8" s="150"/>
    </row>
    <row r="9" spans="1:36" s="50" customFormat="1" ht="57.75" customHeight="1" x14ac:dyDescent="0.2">
      <c r="A9" s="171"/>
      <c r="B9" s="147"/>
      <c r="C9" s="147"/>
      <c r="D9" s="147"/>
      <c r="E9" s="147"/>
      <c r="F9" s="147"/>
      <c r="G9" s="2" t="s">
        <v>12</v>
      </c>
      <c r="H9" s="2" t="s">
        <v>13</v>
      </c>
      <c r="I9" s="147"/>
      <c r="J9" s="2" t="s">
        <v>14</v>
      </c>
      <c r="K9" s="2" t="s">
        <v>15</v>
      </c>
      <c r="L9" s="2" t="s">
        <v>16</v>
      </c>
      <c r="M9" s="4" t="s">
        <v>17</v>
      </c>
      <c r="N9" s="21" t="s">
        <v>18</v>
      </c>
      <c r="O9" s="4" t="s">
        <v>19</v>
      </c>
      <c r="P9" s="19" t="s">
        <v>20</v>
      </c>
      <c r="Q9" s="19" t="s">
        <v>21</v>
      </c>
      <c r="R9" s="4" t="s">
        <v>22</v>
      </c>
      <c r="S9" s="18" t="s">
        <v>20</v>
      </c>
      <c r="T9" s="18" t="s">
        <v>23</v>
      </c>
      <c r="U9" s="20" t="s">
        <v>24</v>
      </c>
      <c r="V9" s="20" t="s">
        <v>25</v>
      </c>
      <c r="W9" s="20" t="s">
        <v>26</v>
      </c>
      <c r="X9" s="4" t="s">
        <v>27</v>
      </c>
      <c r="Y9" s="4" t="s">
        <v>28</v>
      </c>
      <c r="Z9" s="2" t="s">
        <v>29</v>
      </c>
      <c r="AA9" s="2" t="s">
        <v>30</v>
      </c>
      <c r="AB9" s="2" t="s">
        <v>31</v>
      </c>
      <c r="AC9" s="4" t="s">
        <v>32</v>
      </c>
    </row>
    <row r="10" spans="1:36" s="100" customFormat="1" ht="95.25" customHeight="1" x14ac:dyDescent="0.2">
      <c r="A10" s="175" t="s">
        <v>229</v>
      </c>
      <c r="B10" s="172" t="s">
        <v>488</v>
      </c>
      <c r="C10" s="101" t="s">
        <v>411</v>
      </c>
      <c r="D10" s="102" t="s">
        <v>52</v>
      </c>
      <c r="E10" s="102" t="s">
        <v>110</v>
      </c>
      <c r="F10" s="103" t="s">
        <v>33</v>
      </c>
      <c r="G10" s="104" t="s">
        <v>53</v>
      </c>
      <c r="H10" s="102" t="s">
        <v>50</v>
      </c>
      <c r="I10" s="104" t="s">
        <v>66</v>
      </c>
      <c r="J10" s="105" t="s">
        <v>152</v>
      </c>
      <c r="K10" s="104" t="s">
        <v>41</v>
      </c>
      <c r="L10" s="104" t="s">
        <v>41</v>
      </c>
      <c r="M10" s="140">
        <v>0</v>
      </c>
      <c r="N10" s="42">
        <v>2</v>
      </c>
      <c r="O10" s="44">
        <f>M10*N10</f>
        <v>0</v>
      </c>
      <c r="P10" s="44" t="s">
        <v>39</v>
      </c>
      <c r="Q10" s="42">
        <v>10</v>
      </c>
      <c r="R10" s="44">
        <f>O10*Q10</f>
        <v>0</v>
      </c>
      <c r="S10" s="44" t="s">
        <v>100</v>
      </c>
      <c r="T10" s="43" t="s">
        <v>72</v>
      </c>
      <c r="U10" s="107">
        <v>1</v>
      </c>
      <c r="V10" s="105" t="s">
        <v>66</v>
      </c>
      <c r="W10" s="105" t="s">
        <v>33</v>
      </c>
      <c r="X10" s="104" t="s">
        <v>37</v>
      </c>
      <c r="Y10" s="104" t="s">
        <v>37</v>
      </c>
      <c r="Z10" s="108" t="s">
        <v>67</v>
      </c>
      <c r="AA10" s="108" t="s">
        <v>495</v>
      </c>
      <c r="AB10" s="106" t="s">
        <v>54</v>
      </c>
      <c r="AC10" s="105" t="s">
        <v>54</v>
      </c>
    </row>
    <row r="11" spans="1:36" s="100" customFormat="1" ht="95.25" customHeight="1" x14ac:dyDescent="0.2">
      <c r="A11" s="176"/>
      <c r="B11" s="173"/>
      <c r="C11" s="101" t="s">
        <v>411</v>
      </c>
      <c r="D11" s="102" t="s">
        <v>52</v>
      </c>
      <c r="E11" s="102" t="s">
        <v>55</v>
      </c>
      <c r="F11" s="109" t="s">
        <v>33</v>
      </c>
      <c r="G11" s="104" t="s">
        <v>56</v>
      </c>
      <c r="H11" s="102" t="s">
        <v>48</v>
      </c>
      <c r="I11" s="104" t="s">
        <v>57</v>
      </c>
      <c r="J11" s="105" t="s">
        <v>41</v>
      </c>
      <c r="K11" s="104" t="s">
        <v>41</v>
      </c>
      <c r="L11" s="104" t="s">
        <v>58</v>
      </c>
      <c r="M11" s="140">
        <v>0</v>
      </c>
      <c r="N11" s="42">
        <v>2</v>
      </c>
      <c r="O11" s="44">
        <f t="shared" ref="O11:O17" si="0">M11*N11</f>
        <v>0</v>
      </c>
      <c r="P11" s="44" t="s">
        <v>39</v>
      </c>
      <c r="Q11" s="42">
        <v>10</v>
      </c>
      <c r="R11" s="44">
        <f t="shared" ref="R11:R17" si="1">O11*Q11</f>
        <v>0</v>
      </c>
      <c r="S11" s="44" t="s">
        <v>100</v>
      </c>
      <c r="T11" s="43" t="s">
        <v>72</v>
      </c>
      <c r="U11" s="107">
        <v>1</v>
      </c>
      <c r="V11" s="105" t="s">
        <v>113</v>
      </c>
      <c r="W11" s="105" t="s">
        <v>33</v>
      </c>
      <c r="X11" s="104" t="s">
        <v>37</v>
      </c>
      <c r="Y11" s="104" t="s">
        <v>37</v>
      </c>
      <c r="Z11" s="108" t="s">
        <v>497</v>
      </c>
      <c r="AA11" s="108" t="s">
        <v>64</v>
      </c>
      <c r="AB11" s="106" t="s">
        <v>54</v>
      </c>
      <c r="AC11" s="105" t="s">
        <v>54</v>
      </c>
    </row>
    <row r="12" spans="1:36" s="100" customFormat="1" ht="95.25" customHeight="1" x14ac:dyDescent="0.2">
      <c r="A12" s="176"/>
      <c r="B12" s="173"/>
      <c r="C12" s="101" t="s">
        <v>411</v>
      </c>
      <c r="D12" s="102" t="s">
        <v>112</v>
      </c>
      <c r="E12" s="102" t="s">
        <v>55</v>
      </c>
      <c r="F12" s="109" t="s">
        <v>33</v>
      </c>
      <c r="G12" s="104" t="s">
        <v>56</v>
      </c>
      <c r="H12" s="102" t="s">
        <v>48</v>
      </c>
      <c r="I12" s="104" t="s">
        <v>57</v>
      </c>
      <c r="J12" s="105" t="s">
        <v>68</v>
      </c>
      <c r="K12" s="104" t="s">
        <v>41</v>
      </c>
      <c r="L12" s="104" t="s">
        <v>58</v>
      </c>
      <c r="M12" s="140">
        <v>0</v>
      </c>
      <c r="N12" s="42">
        <v>2</v>
      </c>
      <c r="O12" s="44">
        <f>M12*N12</f>
        <v>0</v>
      </c>
      <c r="P12" s="44" t="s">
        <v>39</v>
      </c>
      <c r="Q12" s="42">
        <v>10</v>
      </c>
      <c r="R12" s="44">
        <f>O12*Q12</f>
        <v>0</v>
      </c>
      <c r="S12" s="44" t="s">
        <v>100</v>
      </c>
      <c r="T12" s="43" t="s">
        <v>72</v>
      </c>
      <c r="U12" s="107">
        <v>1</v>
      </c>
      <c r="V12" s="105" t="s">
        <v>113</v>
      </c>
      <c r="W12" s="105" t="s">
        <v>33</v>
      </c>
      <c r="X12" s="104" t="s">
        <v>37</v>
      </c>
      <c r="Y12" s="104" t="s">
        <v>37</v>
      </c>
      <c r="Z12" s="108" t="s">
        <v>496</v>
      </c>
      <c r="AA12" s="108" t="s">
        <v>64</v>
      </c>
      <c r="AB12" s="106" t="s">
        <v>54</v>
      </c>
      <c r="AC12" s="105" t="s">
        <v>54</v>
      </c>
    </row>
    <row r="13" spans="1:36" s="100" customFormat="1" ht="95.25" customHeight="1" x14ac:dyDescent="0.2">
      <c r="A13" s="176"/>
      <c r="B13" s="173"/>
      <c r="C13" s="101" t="s">
        <v>411</v>
      </c>
      <c r="D13" s="102" t="s">
        <v>52</v>
      </c>
      <c r="E13" s="102" t="s">
        <v>55</v>
      </c>
      <c r="F13" s="109" t="s">
        <v>33</v>
      </c>
      <c r="G13" s="104" t="s">
        <v>60</v>
      </c>
      <c r="H13" s="102" t="s">
        <v>51</v>
      </c>
      <c r="I13" s="104" t="s">
        <v>38</v>
      </c>
      <c r="J13" s="105" t="s">
        <v>61</v>
      </c>
      <c r="K13" s="104" t="s">
        <v>41</v>
      </c>
      <c r="L13" s="104" t="s">
        <v>44</v>
      </c>
      <c r="M13" s="140">
        <v>0</v>
      </c>
      <c r="N13" s="42">
        <v>2</v>
      </c>
      <c r="O13" s="44">
        <f t="shared" si="0"/>
        <v>0</v>
      </c>
      <c r="P13" s="44" t="s">
        <v>39</v>
      </c>
      <c r="Q13" s="42">
        <v>60</v>
      </c>
      <c r="R13" s="44">
        <f t="shared" si="1"/>
        <v>0</v>
      </c>
      <c r="S13" s="44" t="s">
        <v>100</v>
      </c>
      <c r="T13" s="43" t="s">
        <v>72</v>
      </c>
      <c r="U13" s="107">
        <v>1</v>
      </c>
      <c r="V13" s="105" t="s">
        <v>38</v>
      </c>
      <c r="W13" s="105" t="s">
        <v>33</v>
      </c>
      <c r="X13" s="104" t="s">
        <v>37</v>
      </c>
      <c r="Y13" s="104" t="s">
        <v>37</v>
      </c>
      <c r="Z13" s="108" t="s">
        <v>61</v>
      </c>
      <c r="AA13" s="108" t="s">
        <v>65</v>
      </c>
      <c r="AB13" s="106" t="s">
        <v>54</v>
      </c>
      <c r="AC13" s="105" t="s">
        <v>62</v>
      </c>
    </row>
    <row r="14" spans="1:36" s="100" customFormat="1" ht="95.25" customHeight="1" x14ac:dyDescent="0.2">
      <c r="A14" s="176"/>
      <c r="B14" s="173"/>
      <c r="C14" s="101" t="s">
        <v>411</v>
      </c>
      <c r="D14" s="102" t="s">
        <v>231</v>
      </c>
      <c r="E14" s="102" t="s">
        <v>59</v>
      </c>
      <c r="F14" s="109" t="s">
        <v>33</v>
      </c>
      <c r="G14" s="104" t="s">
        <v>490</v>
      </c>
      <c r="H14" s="102" t="s">
        <v>232</v>
      </c>
      <c r="I14" s="104" t="s">
        <v>117</v>
      </c>
      <c r="J14" s="104" t="s">
        <v>71</v>
      </c>
      <c r="K14" s="104" t="s">
        <v>71</v>
      </c>
      <c r="L14" s="104" t="s">
        <v>156</v>
      </c>
      <c r="M14" s="140">
        <v>2</v>
      </c>
      <c r="N14" s="42">
        <v>3</v>
      </c>
      <c r="O14" s="44">
        <f t="shared" si="0"/>
        <v>6</v>
      </c>
      <c r="P14" s="44" t="s">
        <v>34</v>
      </c>
      <c r="Q14" s="42">
        <v>25</v>
      </c>
      <c r="R14" s="44">
        <f t="shared" si="1"/>
        <v>150</v>
      </c>
      <c r="S14" s="44" t="s">
        <v>45</v>
      </c>
      <c r="T14" s="43" t="s">
        <v>47</v>
      </c>
      <c r="U14" s="107">
        <v>1</v>
      </c>
      <c r="V14" s="104" t="s">
        <v>118</v>
      </c>
      <c r="W14" s="105" t="s">
        <v>33</v>
      </c>
      <c r="X14" s="104" t="s">
        <v>37</v>
      </c>
      <c r="Y14" s="104" t="s">
        <v>37</v>
      </c>
      <c r="Z14" s="108" t="s">
        <v>37</v>
      </c>
      <c r="AA14" s="110" t="s">
        <v>157</v>
      </c>
      <c r="AB14" s="106" t="s">
        <v>54</v>
      </c>
      <c r="AC14" s="105" t="s">
        <v>54</v>
      </c>
    </row>
    <row r="15" spans="1:36" s="100" customFormat="1" ht="95.25" customHeight="1" x14ac:dyDescent="0.2">
      <c r="A15" s="176"/>
      <c r="B15" s="173"/>
      <c r="C15" s="101" t="s">
        <v>411</v>
      </c>
      <c r="D15" s="102" t="s">
        <v>225</v>
      </c>
      <c r="E15" s="102" t="s">
        <v>59</v>
      </c>
      <c r="F15" s="109" t="s">
        <v>33</v>
      </c>
      <c r="G15" s="104" t="s">
        <v>115</v>
      </c>
      <c r="H15" s="102" t="s">
        <v>73</v>
      </c>
      <c r="I15" s="104" t="s">
        <v>117</v>
      </c>
      <c r="J15" s="111" t="s">
        <v>71</v>
      </c>
      <c r="K15" s="104" t="s">
        <v>71</v>
      </c>
      <c r="L15" s="104" t="s">
        <v>156</v>
      </c>
      <c r="M15" s="140">
        <v>2</v>
      </c>
      <c r="N15" s="42">
        <v>3</v>
      </c>
      <c r="O15" s="44">
        <f t="shared" si="0"/>
        <v>6</v>
      </c>
      <c r="P15" s="44" t="s">
        <v>34</v>
      </c>
      <c r="Q15" s="42">
        <v>25</v>
      </c>
      <c r="R15" s="44">
        <f t="shared" si="1"/>
        <v>150</v>
      </c>
      <c r="S15" s="44" t="s">
        <v>45</v>
      </c>
      <c r="T15" s="43" t="s">
        <v>47</v>
      </c>
      <c r="U15" s="107">
        <v>1</v>
      </c>
      <c r="V15" s="104" t="s">
        <v>118</v>
      </c>
      <c r="W15" s="105" t="s">
        <v>33</v>
      </c>
      <c r="X15" s="104" t="s">
        <v>37</v>
      </c>
      <c r="Y15" s="104" t="s">
        <v>37</v>
      </c>
      <c r="Z15" s="108" t="s">
        <v>37</v>
      </c>
      <c r="AA15" s="104" t="s">
        <v>157</v>
      </c>
      <c r="AB15" s="106" t="s">
        <v>54</v>
      </c>
      <c r="AC15" s="105" t="s">
        <v>54</v>
      </c>
    </row>
    <row r="16" spans="1:36" s="100" customFormat="1" ht="95.25" customHeight="1" x14ac:dyDescent="0.2">
      <c r="A16" s="176"/>
      <c r="B16" s="173"/>
      <c r="C16" s="101" t="s">
        <v>411</v>
      </c>
      <c r="D16" s="102" t="s">
        <v>226</v>
      </c>
      <c r="E16" s="102" t="s">
        <v>226</v>
      </c>
      <c r="F16" s="109" t="s">
        <v>33</v>
      </c>
      <c r="G16" s="104" t="s">
        <v>259</v>
      </c>
      <c r="H16" s="102" t="s">
        <v>227</v>
      </c>
      <c r="I16" s="104" t="s">
        <v>228</v>
      </c>
      <c r="J16" s="111" t="s">
        <v>71</v>
      </c>
      <c r="K16" s="104" t="s">
        <v>71</v>
      </c>
      <c r="L16" s="104" t="s">
        <v>261</v>
      </c>
      <c r="M16" s="140">
        <v>2</v>
      </c>
      <c r="N16" s="42">
        <v>3</v>
      </c>
      <c r="O16" s="44">
        <f t="shared" si="0"/>
        <v>6</v>
      </c>
      <c r="P16" s="44" t="s">
        <v>34</v>
      </c>
      <c r="Q16" s="42">
        <v>25</v>
      </c>
      <c r="R16" s="44">
        <f t="shared" si="1"/>
        <v>150</v>
      </c>
      <c r="S16" s="44" t="s">
        <v>45</v>
      </c>
      <c r="T16" s="43" t="s">
        <v>47</v>
      </c>
      <c r="U16" s="107">
        <v>1</v>
      </c>
      <c r="V16" s="104" t="s">
        <v>118</v>
      </c>
      <c r="W16" s="105" t="s">
        <v>33</v>
      </c>
      <c r="X16" s="104" t="s">
        <v>37</v>
      </c>
      <c r="Y16" s="104" t="s">
        <v>37</v>
      </c>
      <c r="Z16" s="108" t="s">
        <v>262</v>
      </c>
      <c r="AA16" s="104" t="s">
        <v>477</v>
      </c>
      <c r="AB16" s="106" t="s">
        <v>54</v>
      </c>
      <c r="AC16" s="105" t="s">
        <v>54</v>
      </c>
    </row>
    <row r="17" spans="1:30" s="100" customFormat="1" ht="95.25" customHeight="1" x14ac:dyDescent="0.2">
      <c r="A17" s="176"/>
      <c r="B17" s="173"/>
      <c r="C17" s="101" t="s">
        <v>411</v>
      </c>
      <c r="D17" s="102" t="s">
        <v>491</v>
      </c>
      <c r="E17" s="102" t="s">
        <v>59</v>
      </c>
      <c r="F17" s="109" t="s">
        <v>33</v>
      </c>
      <c r="G17" s="109" t="s">
        <v>492</v>
      </c>
      <c r="H17" s="112" t="s">
        <v>560</v>
      </c>
      <c r="I17" s="109" t="s">
        <v>38</v>
      </c>
      <c r="J17" s="104" t="s">
        <v>71</v>
      </c>
      <c r="K17" s="104" t="s">
        <v>71</v>
      </c>
      <c r="L17" s="104" t="s">
        <v>44</v>
      </c>
      <c r="M17" s="140">
        <v>6</v>
      </c>
      <c r="N17" s="42">
        <v>2</v>
      </c>
      <c r="O17" s="44">
        <f t="shared" si="0"/>
        <v>12</v>
      </c>
      <c r="P17" s="44" t="s">
        <v>40</v>
      </c>
      <c r="Q17" s="42">
        <v>100</v>
      </c>
      <c r="R17" s="44">
        <f t="shared" si="1"/>
        <v>1200</v>
      </c>
      <c r="S17" s="44" t="s">
        <v>35</v>
      </c>
      <c r="T17" s="43" t="s">
        <v>36</v>
      </c>
      <c r="U17" s="107">
        <v>1</v>
      </c>
      <c r="V17" s="104" t="s">
        <v>38</v>
      </c>
      <c r="W17" s="104" t="s">
        <v>33</v>
      </c>
      <c r="X17" s="104" t="s">
        <v>37</v>
      </c>
      <c r="Y17" s="104" t="s">
        <v>37</v>
      </c>
      <c r="Z17" s="104" t="s">
        <v>37</v>
      </c>
      <c r="AA17" s="104" t="s">
        <v>561</v>
      </c>
      <c r="AB17" s="106" t="s">
        <v>54</v>
      </c>
      <c r="AC17" s="105" t="s">
        <v>54</v>
      </c>
    </row>
    <row r="18" spans="1:30" s="100" customFormat="1" ht="95.25" customHeight="1" x14ac:dyDescent="0.2">
      <c r="A18" s="176"/>
      <c r="B18" s="173"/>
      <c r="C18" s="101" t="s">
        <v>411</v>
      </c>
      <c r="D18" s="102" t="s">
        <v>491</v>
      </c>
      <c r="E18" s="102" t="s">
        <v>59</v>
      </c>
      <c r="F18" s="109" t="s">
        <v>33</v>
      </c>
      <c r="G18" s="109" t="s">
        <v>492</v>
      </c>
      <c r="H18" s="112" t="s">
        <v>77</v>
      </c>
      <c r="I18" s="109" t="s">
        <v>38</v>
      </c>
      <c r="J18" s="104" t="s">
        <v>71</v>
      </c>
      <c r="K18" s="104" t="s">
        <v>71</v>
      </c>
      <c r="L18" s="104" t="s">
        <v>233</v>
      </c>
      <c r="M18" s="140">
        <v>2</v>
      </c>
      <c r="N18" s="42">
        <v>3</v>
      </c>
      <c r="O18" s="44">
        <f>M18*N18</f>
        <v>6</v>
      </c>
      <c r="P18" s="44" t="s">
        <v>34</v>
      </c>
      <c r="Q18" s="42">
        <v>100</v>
      </c>
      <c r="R18" s="44">
        <f>O18*Q18</f>
        <v>600</v>
      </c>
      <c r="S18" s="44" t="s">
        <v>35</v>
      </c>
      <c r="T18" s="43" t="s">
        <v>36</v>
      </c>
      <c r="U18" s="107">
        <v>1</v>
      </c>
      <c r="V18" s="104" t="s">
        <v>38</v>
      </c>
      <c r="W18" s="104" t="s">
        <v>33</v>
      </c>
      <c r="X18" s="104" t="s">
        <v>37</v>
      </c>
      <c r="Y18" s="104" t="s">
        <v>37</v>
      </c>
      <c r="Z18" s="104" t="s">
        <v>37</v>
      </c>
      <c r="AA18" s="104" t="s">
        <v>493</v>
      </c>
      <c r="AB18" s="106" t="s">
        <v>54</v>
      </c>
      <c r="AC18" s="105" t="s">
        <v>54</v>
      </c>
    </row>
    <row r="19" spans="1:30" s="100" customFormat="1" ht="95.25" customHeight="1" x14ac:dyDescent="0.2">
      <c r="A19" s="176"/>
      <c r="B19" s="173"/>
      <c r="C19" s="101" t="s">
        <v>411</v>
      </c>
      <c r="D19" s="102" t="s">
        <v>52</v>
      </c>
      <c r="E19" s="102" t="s">
        <v>110</v>
      </c>
      <c r="F19" s="103" t="s">
        <v>33</v>
      </c>
      <c r="G19" s="104" t="s">
        <v>53</v>
      </c>
      <c r="H19" s="102" t="s">
        <v>50</v>
      </c>
      <c r="I19" s="104" t="s">
        <v>66</v>
      </c>
      <c r="J19" s="105" t="s">
        <v>152</v>
      </c>
      <c r="K19" s="104" t="s">
        <v>41</v>
      </c>
      <c r="L19" s="104" t="s">
        <v>111</v>
      </c>
      <c r="M19" s="140">
        <v>0</v>
      </c>
      <c r="N19" s="42">
        <v>2</v>
      </c>
      <c r="O19" s="44">
        <f>M19*N19</f>
        <v>0</v>
      </c>
      <c r="P19" s="44" t="s">
        <v>39</v>
      </c>
      <c r="Q19" s="42">
        <v>10</v>
      </c>
      <c r="R19" s="44">
        <f>O19*Q19</f>
        <v>0</v>
      </c>
      <c r="S19" s="44" t="s">
        <v>100</v>
      </c>
      <c r="T19" s="43" t="s">
        <v>72</v>
      </c>
      <c r="U19" s="107">
        <v>1</v>
      </c>
      <c r="V19" s="105" t="s">
        <v>66</v>
      </c>
      <c r="W19" s="105" t="s">
        <v>33</v>
      </c>
      <c r="X19" s="104" t="s">
        <v>37</v>
      </c>
      <c r="Y19" s="104" t="s">
        <v>37</v>
      </c>
      <c r="Z19" s="108" t="s">
        <v>67</v>
      </c>
      <c r="AA19" s="108" t="s">
        <v>63</v>
      </c>
      <c r="AB19" s="106" t="s">
        <v>54</v>
      </c>
      <c r="AC19" s="105" t="s">
        <v>54</v>
      </c>
    </row>
    <row r="20" spans="1:30" s="100" customFormat="1" ht="95.25" customHeight="1" x14ac:dyDescent="0.2">
      <c r="A20" s="176"/>
      <c r="B20" s="174"/>
      <c r="C20" s="101" t="s">
        <v>411</v>
      </c>
      <c r="D20" s="101" t="s">
        <v>411</v>
      </c>
      <c r="E20" s="102" t="s">
        <v>562</v>
      </c>
      <c r="F20" s="102" t="s">
        <v>33</v>
      </c>
      <c r="G20" s="130" t="s">
        <v>563</v>
      </c>
      <c r="H20" s="112" t="s">
        <v>77</v>
      </c>
      <c r="I20" s="109" t="s">
        <v>38</v>
      </c>
      <c r="J20" s="100" t="s">
        <v>564</v>
      </c>
      <c r="K20" s="104" t="s">
        <v>71</v>
      </c>
      <c r="L20" s="104" t="s">
        <v>565</v>
      </c>
      <c r="M20" s="140">
        <v>2</v>
      </c>
      <c r="N20" s="42">
        <v>3</v>
      </c>
      <c r="O20" s="44">
        <f>M20*N20</f>
        <v>6</v>
      </c>
      <c r="P20" s="44" t="s">
        <v>34</v>
      </c>
      <c r="Q20" s="42">
        <v>100</v>
      </c>
      <c r="R20" s="44">
        <f>O20*Q20</f>
        <v>600</v>
      </c>
      <c r="S20" s="44" t="s">
        <v>35</v>
      </c>
      <c r="T20" s="43" t="s">
        <v>36</v>
      </c>
      <c r="U20" s="106">
        <v>1</v>
      </c>
      <c r="V20" s="107">
        <v>1</v>
      </c>
      <c r="W20" s="104" t="s">
        <v>38</v>
      </c>
      <c r="X20" s="104" t="s">
        <v>33</v>
      </c>
      <c r="Y20" s="104" t="s">
        <v>37</v>
      </c>
      <c r="Z20" s="104" t="s">
        <v>37</v>
      </c>
      <c r="AA20" s="104" t="s">
        <v>37</v>
      </c>
      <c r="AB20" s="104" t="s">
        <v>493</v>
      </c>
      <c r="AC20" s="106" t="s">
        <v>54</v>
      </c>
      <c r="AD20" s="105" t="s">
        <v>54</v>
      </c>
    </row>
    <row r="21" spans="1:30" s="100" customFormat="1" ht="95.25" customHeight="1" x14ac:dyDescent="0.2">
      <c r="A21" s="176"/>
      <c r="B21" s="172" t="s">
        <v>489</v>
      </c>
      <c r="C21" s="101" t="s">
        <v>411</v>
      </c>
      <c r="D21" s="101" t="s">
        <v>411</v>
      </c>
      <c r="E21" s="102" t="s">
        <v>494</v>
      </c>
      <c r="F21" s="102" t="s">
        <v>226</v>
      </c>
      <c r="G21" s="109" t="s">
        <v>263</v>
      </c>
      <c r="H21" s="104" t="s">
        <v>265</v>
      </c>
      <c r="I21" s="102" t="s">
        <v>227</v>
      </c>
      <c r="J21" s="104" t="s">
        <v>228</v>
      </c>
      <c r="K21" s="111" t="s">
        <v>71</v>
      </c>
      <c r="L21" s="104" t="s">
        <v>261</v>
      </c>
      <c r="M21" s="140">
        <v>2</v>
      </c>
      <c r="N21" s="42">
        <v>3</v>
      </c>
      <c r="O21" s="44">
        <f>M21*N21</f>
        <v>6</v>
      </c>
      <c r="P21" s="44" t="s">
        <v>34</v>
      </c>
      <c r="Q21" s="42">
        <v>25</v>
      </c>
      <c r="R21" s="44">
        <f>O21*Q21</f>
        <v>150</v>
      </c>
      <c r="S21" s="44" t="s">
        <v>45</v>
      </c>
      <c r="T21" s="43" t="s">
        <v>47</v>
      </c>
      <c r="U21" s="106">
        <v>1</v>
      </c>
      <c r="V21" s="107">
        <v>1</v>
      </c>
      <c r="W21" s="104" t="s">
        <v>118</v>
      </c>
      <c r="X21" s="105" t="s">
        <v>33</v>
      </c>
      <c r="Y21" s="104" t="s">
        <v>37</v>
      </c>
      <c r="Z21" s="104" t="s">
        <v>37</v>
      </c>
      <c r="AA21" s="108" t="s">
        <v>37</v>
      </c>
      <c r="AB21" s="104" t="s">
        <v>44</v>
      </c>
      <c r="AC21" s="106" t="s">
        <v>235</v>
      </c>
      <c r="AD21" s="105" t="s">
        <v>54</v>
      </c>
    </row>
    <row r="22" spans="1:30" s="100" customFormat="1" ht="95.25" customHeight="1" x14ac:dyDescent="0.2">
      <c r="A22" s="176"/>
      <c r="B22" s="173"/>
      <c r="C22" s="101" t="s">
        <v>411</v>
      </c>
      <c r="D22" s="102" t="s">
        <v>52</v>
      </c>
      <c r="E22" s="102" t="s">
        <v>55</v>
      </c>
      <c r="F22" s="109" t="s">
        <v>33</v>
      </c>
      <c r="G22" s="104" t="s">
        <v>56</v>
      </c>
      <c r="H22" s="102" t="s">
        <v>48</v>
      </c>
      <c r="I22" s="104" t="s">
        <v>57</v>
      </c>
      <c r="J22" s="105" t="s">
        <v>68</v>
      </c>
      <c r="K22" s="104" t="s">
        <v>41</v>
      </c>
      <c r="L22" s="104" t="s">
        <v>58</v>
      </c>
      <c r="M22" s="140">
        <v>0</v>
      </c>
      <c r="N22" s="42">
        <v>2</v>
      </c>
      <c r="O22" s="44">
        <f t="shared" ref="O22:O30" si="2">M22*N22</f>
        <v>0</v>
      </c>
      <c r="P22" s="44" t="s">
        <v>39</v>
      </c>
      <c r="Q22" s="42">
        <v>10</v>
      </c>
      <c r="R22" s="44">
        <f t="shared" ref="R22:R30" si="3">O22*Q22</f>
        <v>0</v>
      </c>
      <c r="S22" s="44" t="s">
        <v>100</v>
      </c>
      <c r="T22" s="43" t="s">
        <v>72</v>
      </c>
      <c r="U22" s="107">
        <v>1</v>
      </c>
      <c r="V22" s="105" t="s">
        <v>113</v>
      </c>
      <c r="W22" s="105" t="s">
        <v>33</v>
      </c>
      <c r="X22" s="104" t="s">
        <v>37</v>
      </c>
      <c r="Y22" s="104" t="s">
        <v>37</v>
      </c>
      <c r="Z22" s="108" t="s">
        <v>114</v>
      </c>
      <c r="AA22" s="108" t="s">
        <v>64</v>
      </c>
      <c r="AB22" s="106" t="s">
        <v>54</v>
      </c>
      <c r="AC22" s="105" t="s">
        <v>54</v>
      </c>
    </row>
    <row r="23" spans="1:30" s="100" customFormat="1" ht="95.25" customHeight="1" x14ac:dyDescent="0.2">
      <c r="A23" s="176"/>
      <c r="B23" s="173"/>
      <c r="C23" s="101" t="s">
        <v>411</v>
      </c>
      <c r="D23" s="102" t="s">
        <v>112</v>
      </c>
      <c r="E23" s="102" t="s">
        <v>55</v>
      </c>
      <c r="F23" s="109" t="s">
        <v>33</v>
      </c>
      <c r="G23" s="104" t="s">
        <v>56</v>
      </c>
      <c r="H23" s="102" t="s">
        <v>48</v>
      </c>
      <c r="I23" s="104" t="s">
        <v>57</v>
      </c>
      <c r="J23" s="105" t="s">
        <v>68</v>
      </c>
      <c r="K23" s="104" t="s">
        <v>41</v>
      </c>
      <c r="L23" s="104" t="s">
        <v>58</v>
      </c>
      <c r="M23" s="140">
        <v>0</v>
      </c>
      <c r="N23" s="42">
        <v>2</v>
      </c>
      <c r="O23" s="44">
        <f t="shared" si="2"/>
        <v>0</v>
      </c>
      <c r="P23" s="44" t="s">
        <v>39</v>
      </c>
      <c r="Q23" s="42">
        <v>10</v>
      </c>
      <c r="R23" s="44">
        <f t="shared" si="3"/>
        <v>0</v>
      </c>
      <c r="S23" s="44" t="s">
        <v>100</v>
      </c>
      <c r="T23" s="43" t="s">
        <v>72</v>
      </c>
      <c r="U23" s="107">
        <v>1</v>
      </c>
      <c r="V23" s="105" t="s">
        <v>113</v>
      </c>
      <c r="W23" s="105" t="s">
        <v>33</v>
      </c>
      <c r="X23" s="104" t="s">
        <v>37</v>
      </c>
      <c r="Y23" s="104" t="s">
        <v>37</v>
      </c>
      <c r="Z23" s="108" t="s">
        <v>114</v>
      </c>
      <c r="AA23" s="108" t="s">
        <v>64</v>
      </c>
      <c r="AB23" s="106" t="s">
        <v>54</v>
      </c>
      <c r="AC23" s="105" t="s">
        <v>54</v>
      </c>
    </row>
    <row r="24" spans="1:30" s="100" customFormat="1" ht="95.25" customHeight="1" x14ac:dyDescent="0.2">
      <c r="A24" s="176"/>
      <c r="B24" s="173"/>
      <c r="C24" s="101" t="s">
        <v>411</v>
      </c>
      <c r="D24" s="102" t="s">
        <v>52</v>
      </c>
      <c r="E24" s="102" t="s">
        <v>55</v>
      </c>
      <c r="F24" s="109" t="s">
        <v>33</v>
      </c>
      <c r="G24" s="104" t="s">
        <v>60</v>
      </c>
      <c r="H24" s="102" t="s">
        <v>51</v>
      </c>
      <c r="I24" s="104" t="s">
        <v>38</v>
      </c>
      <c r="J24" s="105" t="s">
        <v>61</v>
      </c>
      <c r="K24" s="104" t="s">
        <v>41</v>
      </c>
      <c r="L24" s="104" t="s">
        <v>44</v>
      </c>
      <c r="M24" s="140">
        <v>0</v>
      </c>
      <c r="N24" s="42">
        <v>2</v>
      </c>
      <c r="O24" s="44">
        <f t="shared" si="2"/>
        <v>0</v>
      </c>
      <c r="P24" s="44" t="s">
        <v>39</v>
      </c>
      <c r="Q24" s="42">
        <v>60</v>
      </c>
      <c r="R24" s="44">
        <f t="shared" si="3"/>
        <v>0</v>
      </c>
      <c r="S24" s="44" t="s">
        <v>100</v>
      </c>
      <c r="T24" s="43" t="s">
        <v>72</v>
      </c>
      <c r="U24" s="107">
        <v>1</v>
      </c>
      <c r="V24" s="105" t="s">
        <v>38</v>
      </c>
      <c r="W24" s="105" t="s">
        <v>33</v>
      </c>
      <c r="X24" s="104" t="s">
        <v>37</v>
      </c>
      <c r="Y24" s="104" t="s">
        <v>37</v>
      </c>
      <c r="Z24" s="108" t="s">
        <v>61</v>
      </c>
      <c r="AA24" s="108" t="s">
        <v>65</v>
      </c>
      <c r="AB24" s="106" t="s">
        <v>54</v>
      </c>
      <c r="AC24" s="105" t="s">
        <v>62</v>
      </c>
    </row>
    <row r="25" spans="1:30" s="100" customFormat="1" ht="95.25" customHeight="1" x14ac:dyDescent="0.2">
      <c r="A25" s="176"/>
      <c r="B25" s="173"/>
      <c r="C25" s="101" t="s">
        <v>411</v>
      </c>
      <c r="D25" s="102" t="s">
        <v>119</v>
      </c>
      <c r="E25" s="102" t="s">
        <v>59</v>
      </c>
      <c r="F25" s="109" t="s">
        <v>33</v>
      </c>
      <c r="G25" s="104" t="s">
        <v>239</v>
      </c>
      <c r="H25" s="102" t="s">
        <v>73</v>
      </c>
      <c r="I25" s="104" t="s">
        <v>117</v>
      </c>
      <c r="J25" s="104" t="s">
        <v>71</v>
      </c>
      <c r="K25" s="104" t="s">
        <v>71</v>
      </c>
      <c r="L25" s="104" t="s">
        <v>156</v>
      </c>
      <c r="M25" s="140">
        <v>2</v>
      </c>
      <c r="N25" s="42">
        <v>3</v>
      </c>
      <c r="O25" s="44">
        <f t="shared" si="2"/>
        <v>6</v>
      </c>
      <c r="P25" s="44" t="s">
        <v>34</v>
      </c>
      <c r="Q25" s="42">
        <v>25</v>
      </c>
      <c r="R25" s="44">
        <f t="shared" si="3"/>
        <v>150</v>
      </c>
      <c r="S25" s="44" t="s">
        <v>45</v>
      </c>
      <c r="T25" s="43" t="s">
        <v>47</v>
      </c>
      <c r="U25" s="107">
        <v>1</v>
      </c>
      <c r="V25" s="104" t="s">
        <v>118</v>
      </c>
      <c r="W25" s="105" t="s">
        <v>33</v>
      </c>
      <c r="X25" s="104" t="s">
        <v>37</v>
      </c>
      <c r="Y25" s="104" t="s">
        <v>37</v>
      </c>
      <c r="Z25" s="108" t="s">
        <v>37</v>
      </c>
      <c r="AA25" s="110" t="s">
        <v>157</v>
      </c>
      <c r="AB25" s="106" t="s">
        <v>54</v>
      </c>
      <c r="AC25" s="105" t="s">
        <v>54</v>
      </c>
    </row>
    <row r="26" spans="1:30" s="100" customFormat="1" ht="95.25" customHeight="1" x14ac:dyDescent="0.2">
      <c r="A26" s="176"/>
      <c r="B26" s="173"/>
      <c r="C26" s="101" t="s">
        <v>411</v>
      </c>
      <c r="D26" s="102" t="s">
        <v>225</v>
      </c>
      <c r="E26" s="102" t="s">
        <v>59</v>
      </c>
      <c r="F26" s="109" t="s">
        <v>33</v>
      </c>
      <c r="G26" s="104" t="s">
        <v>115</v>
      </c>
      <c r="H26" s="102" t="s">
        <v>73</v>
      </c>
      <c r="I26" s="104" t="s">
        <v>117</v>
      </c>
      <c r="J26" s="111" t="s">
        <v>71</v>
      </c>
      <c r="K26" s="104" t="s">
        <v>71</v>
      </c>
      <c r="L26" s="104" t="s">
        <v>156</v>
      </c>
      <c r="M26" s="140">
        <v>2</v>
      </c>
      <c r="N26" s="42">
        <v>3</v>
      </c>
      <c r="O26" s="44">
        <f t="shared" si="2"/>
        <v>6</v>
      </c>
      <c r="P26" s="44" t="s">
        <v>34</v>
      </c>
      <c r="Q26" s="42">
        <v>25</v>
      </c>
      <c r="R26" s="44">
        <f t="shared" si="3"/>
        <v>150</v>
      </c>
      <c r="S26" s="44" t="s">
        <v>45</v>
      </c>
      <c r="T26" s="43" t="s">
        <v>47</v>
      </c>
      <c r="U26" s="107">
        <v>1</v>
      </c>
      <c r="V26" s="104" t="s">
        <v>118</v>
      </c>
      <c r="W26" s="105" t="s">
        <v>33</v>
      </c>
      <c r="X26" s="104" t="s">
        <v>37</v>
      </c>
      <c r="Y26" s="104" t="s">
        <v>37</v>
      </c>
      <c r="Z26" s="108" t="s">
        <v>37</v>
      </c>
      <c r="AA26" s="104" t="s">
        <v>157</v>
      </c>
      <c r="AB26" s="106" t="s">
        <v>54</v>
      </c>
      <c r="AC26" s="105" t="s">
        <v>54</v>
      </c>
    </row>
    <row r="27" spans="1:30" s="100" customFormat="1" ht="95.25" customHeight="1" x14ac:dyDescent="0.2">
      <c r="A27" s="176"/>
      <c r="B27" s="173"/>
      <c r="C27" s="101" t="s">
        <v>411</v>
      </c>
      <c r="D27" s="102" t="s">
        <v>226</v>
      </c>
      <c r="E27" s="102" t="s">
        <v>226</v>
      </c>
      <c r="F27" s="109" t="s">
        <v>33</v>
      </c>
      <c r="G27" s="104" t="s">
        <v>259</v>
      </c>
      <c r="H27" s="102" t="s">
        <v>260</v>
      </c>
      <c r="I27" s="104" t="s">
        <v>228</v>
      </c>
      <c r="J27" s="111" t="s">
        <v>71</v>
      </c>
      <c r="K27" s="104" t="s">
        <v>71</v>
      </c>
      <c r="L27" s="104" t="s">
        <v>261</v>
      </c>
      <c r="M27" s="140">
        <v>0</v>
      </c>
      <c r="N27" s="42">
        <v>2</v>
      </c>
      <c r="O27" s="44">
        <f t="shared" si="2"/>
        <v>0</v>
      </c>
      <c r="P27" s="44" t="s">
        <v>34</v>
      </c>
      <c r="Q27" s="42">
        <v>25</v>
      </c>
      <c r="R27" s="44">
        <f t="shared" si="3"/>
        <v>0</v>
      </c>
      <c r="S27" s="44" t="s">
        <v>100</v>
      </c>
      <c r="T27" s="43" t="s">
        <v>72</v>
      </c>
      <c r="U27" s="107">
        <v>1</v>
      </c>
      <c r="V27" s="104" t="s">
        <v>118</v>
      </c>
      <c r="W27" s="105" t="s">
        <v>33</v>
      </c>
      <c r="X27" s="104" t="s">
        <v>37</v>
      </c>
      <c r="Y27" s="104" t="s">
        <v>37</v>
      </c>
      <c r="Z27" s="108" t="s">
        <v>262</v>
      </c>
      <c r="AA27" s="104" t="s">
        <v>264</v>
      </c>
      <c r="AB27" s="106" t="s">
        <v>54</v>
      </c>
      <c r="AC27" s="105" t="s">
        <v>54</v>
      </c>
    </row>
    <row r="28" spans="1:30" s="100" customFormat="1" ht="95.25" customHeight="1" x14ac:dyDescent="0.2">
      <c r="A28" s="176"/>
      <c r="B28" s="173"/>
      <c r="C28" s="101" t="s">
        <v>411</v>
      </c>
      <c r="D28" s="102" t="s">
        <v>234</v>
      </c>
      <c r="E28" s="102" t="s">
        <v>59</v>
      </c>
      <c r="F28" s="109" t="s">
        <v>33</v>
      </c>
      <c r="G28" s="104" t="s">
        <v>234</v>
      </c>
      <c r="H28" s="102" t="s">
        <v>73</v>
      </c>
      <c r="I28" s="104" t="s">
        <v>117</v>
      </c>
      <c r="J28" s="104" t="s">
        <v>71</v>
      </c>
      <c r="K28" s="104" t="s">
        <v>71</v>
      </c>
      <c r="L28" s="104" t="s">
        <v>156</v>
      </c>
      <c r="M28" s="140">
        <v>2</v>
      </c>
      <c r="N28" s="42">
        <v>3</v>
      </c>
      <c r="O28" s="44">
        <f t="shared" si="2"/>
        <v>6</v>
      </c>
      <c r="P28" s="44" t="s">
        <v>34</v>
      </c>
      <c r="Q28" s="42">
        <v>25</v>
      </c>
      <c r="R28" s="44">
        <f t="shared" si="3"/>
        <v>150</v>
      </c>
      <c r="S28" s="44" t="s">
        <v>45</v>
      </c>
      <c r="T28" s="43" t="s">
        <v>47</v>
      </c>
      <c r="U28" s="107">
        <v>1</v>
      </c>
      <c r="V28" s="104" t="s">
        <v>118</v>
      </c>
      <c r="W28" s="105" t="s">
        <v>33</v>
      </c>
      <c r="X28" s="104" t="s">
        <v>37</v>
      </c>
      <c r="Y28" s="104" t="s">
        <v>37</v>
      </c>
      <c r="Z28" s="108" t="s">
        <v>37</v>
      </c>
      <c r="AA28" s="110" t="s">
        <v>157</v>
      </c>
      <c r="AB28" s="106" t="s">
        <v>54</v>
      </c>
      <c r="AC28" s="105" t="s">
        <v>54</v>
      </c>
    </row>
    <row r="29" spans="1:30" s="100" customFormat="1" ht="95.25" customHeight="1" x14ac:dyDescent="0.2">
      <c r="A29" s="176"/>
      <c r="B29" s="173"/>
      <c r="C29" s="101" t="s">
        <v>411</v>
      </c>
      <c r="D29" s="102" t="s">
        <v>234</v>
      </c>
      <c r="E29" s="102" t="s">
        <v>59</v>
      </c>
      <c r="F29" s="109" t="s">
        <v>33</v>
      </c>
      <c r="G29" s="104" t="s">
        <v>234</v>
      </c>
      <c r="H29" s="102" t="s">
        <v>232</v>
      </c>
      <c r="I29" s="104" t="s">
        <v>117</v>
      </c>
      <c r="J29" s="111" t="s">
        <v>71</v>
      </c>
      <c r="K29" s="104" t="s">
        <v>71</v>
      </c>
      <c r="L29" s="104" t="s">
        <v>156</v>
      </c>
      <c r="M29" s="140">
        <v>2</v>
      </c>
      <c r="N29" s="42">
        <v>3</v>
      </c>
      <c r="O29" s="44">
        <f t="shared" si="2"/>
        <v>6</v>
      </c>
      <c r="P29" s="44" t="s">
        <v>34</v>
      </c>
      <c r="Q29" s="42">
        <v>25</v>
      </c>
      <c r="R29" s="44">
        <f t="shared" si="3"/>
        <v>150</v>
      </c>
      <c r="S29" s="44" t="s">
        <v>45</v>
      </c>
      <c r="T29" s="43" t="s">
        <v>47</v>
      </c>
      <c r="U29" s="107">
        <v>1</v>
      </c>
      <c r="V29" s="104" t="s">
        <v>118</v>
      </c>
      <c r="W29" s="105" t="s">
        <v>33</v>
      </c>
      <c r="X29" s="104" t="s">
        <v>37</v>
      </c>
      <c r="Y29" s="104" t="s">
        <v>37</v>
      </c>
      <c r="Z29" s="108" t="s">
        <v>37</v>
      </c>
      <c r="AA29" s="104" t="s">
        <v>157</v>
      </c>
      <c r="AB29" s="106" t="s">
        <v>54</v>
      </c>
      <c r="AC29" s="105" t="s">
        <v>54</v>
      </c>
    </row>
    <row r="30" spans="1:30" s="100" customFormat="1" ht="95.25" customHeight="1" x14ac:dyDescent="0.2">
      <c r="A30" s="176"/>
      <c r="B30" s="174"/>
      <c r="C30" s="101" t="s">
        <v>411</v>
      </c>
      <c r="D30" s="102" t="s">
        <v>226</v>
      </c>
      <c r="E30" s="102" t="s">
        <v>226</v>
      </c>
      <c r="F30" s="109" t="s">
        <v>33</v>
      </c>
      <c r="G30" s="104" t="s">
        <v>259</v>
      </c>
      <c r="H30" s="102" t="s">
        <v>260</v>
      </c>
      <c r="I30" s="104" t="s">
        <v>228</v>
      </c>
      <c r="J30" s="111" t="s">
        <v>71</v>
      </c>
      <c r="K30" s="104" t="s">
        <v>71</v>
      </c>
      <c r="L30" s="104" t="s">
        <v>261</v>
      </c>
      <c r="M30" s="140">
        <v>2</v>
      </c>
      <c r="N30" s="42">
        <v>3</v>
      </c>
      <c r="O30" s="44">
        <f t="shared" si="2"/>
        <v>6</v>
      </c>
      <c r="P30" s="44" t="s">
        <v>34</v>
      </c>
      <c r="Q30" s="42">
        <v>25</v>
      </c>
      <c r="R30" s="44">
        <f t="shared" si="3"/>
        <v>150</v>
      </c>
      <c r="S30" s="44" t="s">
        <v>45</v>
      </c>
      <c r="T30" s="43" t="s">
        <v>47</v>
      </c>
      <c r="U30" s="107">
        <v>1</v>
      </c>
      <c r="V30" s="104" t="s">
        <v>118</v>
      </c>
      <c r="W30" s="105" t="s">
        <v>33</v>
      </c>
      <c r="X30" s="104" t="s">
        <v>37</v>
      </c>
      <c r="Y30" s="104" t="s">
        <v>37</v>
      </c>
      <c r="Z30" s="108" t="s">
        <v>262</v>
      </c>
      <c r="AA30" s="104" t="s">
        <v>477</v>
      </c>
      <c r="AB30" s="106" t="s">
        <v>54</v>
      </c>
      <c r="AC30" s="105" t="s">
        <v>54</v>
      </c>
    </row>
    <row r="31" spans="1:30" s="100" customFormat="1" ht="95.25" customHeight="1" x14ac:dyDescent="0.2">
      <c r="A31" s="176"/>
      <c r="B31" s="113" t="s">
        <v>230</v>
      </c>
      <c r="C31" s="101" t="s">
        <v>411</v>
      </c>
      <c r="D31" s="102" t="s">
        <v>52</v>
      </c>
      <c r="E31" s="102" t="s">
        <v>110</v>
      </c>
      <c r="F31" s="103" t="s">
        <v>33</v>
      </c>
      <c r="G31" s="104" t="s">
        <v>53</v>
      </c>
      <c r="H31" s="102" t="s">
        <v>50</v>
      </c>
      <c r="I31" s="104" t="s">
        <v>66</v>
      </c>
      <c r="J31" s="105" t="s">
        <v>152</v>
      </c>
      <c r="K31" s="104" t="s">
        <v>41</v>
      </c>
      <c r="L31" s="104" t="s">
        <v>111</v>
      </c>
      <c r="M31" s="140">
        <v>0</v>
      </c>
      <c r="N31" s="42">
        <v>2</v>
      </c>
      <c r="O31" s="44">
        <f t="shared" ref="O31:O38" si="4">M31*N31</f>
        <v>0</v>
      </c>
      <c r="P31" s="44" t="s">
        <v>39</v>
      </c>
      <c r="Q31" s="42">
        <v>10</v>
      </c>
      <c r="R31" s="44">
        <f t="shared" ref="R31:R38" si="5">O31*Q31</f>
        <v>0</v>
      </c>
      <c r="S31" s="44" t="s">
        <v>100</v>
      </c>
      <c r="T31" s="43" t="s">
        <v>72</v>
      </c>
      <c r="U31" s="107">
        <v>1</v>
      </c>
      <c r="V31" s="105" t="s">
        <v>66</v>
      </c>
      <c r="W31" s="105" t="s">
        <v>33</v>
      </c>
      <c r="X31" s="104" t="s">
        <v>37</v>
      </c>
      <c r="Y31" s="104" t="s">
        <v>37</v>
      </c>
      <c r="Z31" s="108" t="s">
        <v>67</v>
      </c>
      <c r="AA31" s="108" t="s">
        <v>63</v>
      </c>
      <c r="AB31" s="106" t="s">
        <v>54</v>
      </c>
      <c r="AC31" s="105" t="s">
        <v>54</v>
      </c>
    </row>
    <row r="32" spans="1:30" s="100" customFormat="1" ht="95.25" customHeight="1" x14ac:dyDescent="0.2">
      <c r="A32" s="176"/>
      <c r="B32" s="113" t="s">
        <v>230</v>
      </c>
      <c r="C32" s="101" t="s">
        <v>411</v>
      </c>
      <c r="D32" s="102" t="s">
        <v>52</v>
      </c>
      <c r="E32" s="102" t="s">
        <v>55</v>
      </c>
      <c r="F32" s="109" t="s">
        <v>33</v>
      </c>
      <c r="G32" s="104" t="s">
        <v>56</v>
      </c>
      <c r="H32" s="102" t="s">
        <v>48</v>
      </c>
      <c r="I32" s="104" t="s">
        <v>57</v>
      </c>
      <c r="J32" s="105" t="s">
        <v>68</v>
      </c>
      <c r="K32" s="104" t="s">
        <v>41</v>
      </c>
      <c r="L32" s="104" t="s">
        <v>58</v>
      </c>
      <c r="M32" s="140">
        <v>0</v>
      </c>
      <c r="N32" s="42">
        <v>2</v>
      </c>
      <c r="O32" s="44">
        <f t="shared" si="4"/>
        <v>0</v>
      </c>
      <c r="P32" s="44" t="s">
        <v>39</v>
      </c>
      <c r="Q32" s="42">
        <v>10</v>
      </c>
      <c r="R32" s="44">
        <f t="shared" si="5"/>
        <v>0</v>
      </c>
      <c r="S32" s="44" t="s">
        <v>100</v>
      </c>
      <c r="T32" s="43" t="s">
        <v>72</v>
      </c>
      <c r="U32" s="107">
        <v>1</v>
      </c>
      <c r="V32" s="105" t="s">
        <v>113</v>
      </c>
      <c r="W32" s="105" t="s">
        <v>33</v>
      </c>
      <c r="X32" s="104" t="s">
        <v>37</v>
      </c>
      <c r="Y32" s="104" t="s">
        <v>37</v>
      </c>
      <c r="Z32" s="108" t="s">
        <v>114</v>
      </c>
      <c r="AA32" s="108" t="s">
        <v>64</v>
      </c>
      <c r="AB32" s="106" t="s">
        <v>54</v>
      </c>
      <c r="AC32" s="105" t="s">
        <v>54</v>
      </c>
    </row>
    <row r="33" spans="1:29" s="100" customFormat="1" ht="95.25" customHeight="1" x14ac:dyDescent="0.2">
      <c r="A33" s="176"/>
      <c r="B33" s="113" t="s">
        <v>230</v>
      </c>
      <c r="C33" s="101" t="s">
        <v>411</v>
      </c>
      <c r="D33" s="102" t="s">
        <v>52</v>
      </c>
      <c r="E33" s="102" t="s">
        <v>55</v>
      </c>
      <c r="F33" s="109" t="s">
        <v>33</v>
      </c>
      <c r="G33" s="104" t="s">
        <v>60</v>
      </c>
      <c r="H33" s="102" t="s">
        <v>51</v>
      </c>
      <c r="I33" s="104" t="s">
        <v>38</v>
      </c>
      <c r="J33" s="105" t="s">
        <v>61</v>
      </c>
      <c r="K33" s="104" t="s">
        <v>41</v>
      </c>
      <c r="L33" s="104" t="s">
        <v>44</v>
      </c>
      <c r="M33" s="140">
        <v>0</v>
      </c>
      <c r="N33" s="42">
        <v>2</v>
      </c>
      <c r="O33" s="44">
        <f t="shared" si="4"/>
        <v>0</v>
      </c>
      <c r="P33" s="44" t="s">
        <v>39</v>
      </c>
      <c r="Q33" s="42">
        <v>60</v>
      </c>
      <c r="R33" s="44">
        <f t="shared" si="5"/>
        <v>0</v>
      </c>
      <c r="S33" s="44" t="s">
        <v>100</v>
      </c>
      <c r="T33" s="43" t="s">
        <v>72</v>
      </c>
      <c r="U33" s="107">
        <v>1</v>
      </c>
      <c r="V33" s="105" t="s">
        <v>38</v>
      </c>
      <c r="W33" s="105" t="s">
        <v>33</v>
      </c>
      <c r="X33" s="104" t="s">
        <v>37</v>
      </c>
      <c r="Y33" s="104" t="s">
        <v>37</v>
      </c>
      <c r="Z33" s="108" t="s">
        <v>61</v>
      </c>
      <c r="AA33" s="108" t="s">
        <v>65</v>
      </c>
      <c r="AB33" s="106" t="s">
        <v>54</v>
      </c>
      <c r="AC33" s="105" t="s">
        <v>62</v>
      </c>
    </row>
    <row r="34" spans="1:29" s="100" customFormat="1" ht="95.25" customHeight="1" x14ac:dyDescent="0.2">
      <c r="A34" s="176"/>
      <c r="B34" s="113" t="s">
        <v>230</v>
      </c>
      <c r="C34" s="101" t="s">
        <v>411</v>
      </c>
      <c r="D34" s="102" t="s">
        <v>236</v>
      </c>
      <c r="E34" s="102" t="s">
        <v>59</v>
      </c>
      <c r="F34" s="109" t="s">
        <v>33</v>
      </c>
      <c r="G34" s="104" t="s">
        <v>266</v>
      </c>
      <c r="H34" s="102" t="s">
        <v>75</v>
      </c>
      <c r="I34" s="104" t="s">
        <v>117</v>
      </c>
      <c r="J34" s="104" t="s">
        <v>71</v>
      </c>
      <c r="K34" s="104" t="s">
        <v>71</v>
      </c>
      <c r="L34" s="104" t="s">
        <v>156</v>
      </c>
      <c r="M34" s="140">
        <v>6</v>
      </c>
      <c r="N34" s="42">
        <v>4</v>
      </c>
      <c r="O34" s="44">
        <f t="shared" si="4"/>
        <v>24</v>
      </c>
      <c r="P34" s="44" t="s">
        <v>46</v>
      </c>
      <c r="Q34" s="42">
        <v>25</v>
      </c>
      <c r="R34" s="44">
        <f t="shared" si="5"/>
        <v>600</v>
      </c>
      <c r="S34" s="44" t="s">
        <v>35</v>
      </c>
      <c r="T34" s="43" t="s">
        <v>36</v>
      </c>
      <c r="U34" s="107">
        <v>1</v>
      </c>
      <c r="V34" s="104" t="s">
        <v>118</v>
      </c>
      <c r="W34" s="105" t="s">
        <v>33</v>
      </c>
      <c r="X34" s="104" t="s">
        <v>37</v>
      </c>
      <c r="Y34" s="104" t="s">
        <v>37</v>
      </c>
      <c r="Z34" s="108" t="s">
        <v>37</v>
      </c>
      <c r="AA34" s="104" t="s">
        <v>267</v>
      </c>
      <c r="AB34" s="106" t="s">
        <v>54</v>
      </c>
      <c r="AC34" s="105" t="s">
        <v>54</v>
      </c>
    </row>
    <row r="35" spans="1:29" s="100" customFormat="1" ht="95.25" customHeight="1" x14ac:dyDescent="0.2">
      <c r="A35" s="176"/>
      <c r="B35" s="113" t="s">
        <v>230</v>
      </c>
      <c r="C35" s="101" t="s">
        <v>411</v>
      </c>
      <c r="D35" s="102" t="s">
        <v>225</v>
      </c>
      <c r="E35" s="102" t="s">
        <v>59</v>
      </c>
      <c r="F35" s="109" t="s">
        <v>33</v>
      </c>
      <c r="G35" s="104" t="s">
        <v>115</v>
      </c>
      <c r="H35" s="102" t="s">
        <v>73</v>
      </c>
      <c r="I35" s="104" t="s">
        <v>117</v>
      </c>
      <c r="J35" s="111" t="s">
        <v>71</v>
      </c>
      <c r="K35" s="104" t="s">
        <v>71</v>
      </c>
      <c r="L35" s="104" t="s">
        <v>156</v>
      </c>
      <c r="M35" s="140">
        <v>2</v>
      </c>
      <c r="N35" s="42">
        <v>3</v>
      </c>
      <c r="O35" s="44">
        <f t="shared" si="4"/>
        <v>6</v>
      </c>
      <c r="P35" s="44" t="s">
        <v>34</v>
      </c>
      <c r="Q35" s="42">
        <v>25</v>
      </c>
      <c r="R35" s="44">
        <f t="shared" si="5"/>
        <v>150</v>
      </c>
      <c r="S35" s="44" t="s">
        <v>45</v>
      </c>
      <c r="T35" s="43" t="s">
        <v>47</v>
      </c>
      <c r="U35" s="107">
        <v>1</v>
      </c>
      <c r="V35" s="104" t="s">
        <v>118</v>
      </c>
      <c r="W35" s="105" t="s">
        <v>33</v>
      </c>
      <c r="X35" s="104" t="s">
        <v>37</v>
      </c>
      <c r="Y35" s="104" t="s">
        <v>37</v>
      </c>
      <c r="Z35" s="108" t="s">
        <v>37</v>
      </c>
      <c r="AA35" s="104" t="s">
        <v>157</v>
      </c>
      <c r="AB35" s="106" t="s">
        <v>54</v>
      </c>
      <c r="AC35" s="105" t="s">
        <v>54</v>
      </c>
    </row>
    <row r="36" spans="1:29" s="100" customFormat="1" ht="95.25" customHeight="1" x14ac:dyDescent="0.2">
      <c r="A36" s="176"/>
      <c r="B36" s="113" t="s">
        <v>230</v>
      </c>
      <c r="C36" s="101" t="s">
        <v>411</v>
      </c>
      <c r="D36" s="102" t="s">
        <v>226</v>
      </c>
      <c r="E36" s="102" t="s">
        <v>226</v>
      </c>
      <c r="F36" s="109" t="s">
        <v>33</v>
      </c>
      <c r="G36" s="104" t="s">
        <v>259</v>
      </c>
      <c r="H36" s="102" t="s">
        <v>260</v>
      </c>
      <c r="I36" s="104" t="s">
        <v>228</v>
      </c>
      <c r="J36" s="111" t="s">
        <v>71</v>
      </c>
      <c r="K36" s="104" t="s">
        <v>71</v>
      </c>
      <c r="L36" s="104" t="s">
        <v>261</v>
      </c>
      <c r="M36" s="140">
        <v>2</v>
      </c>
      <c r="N36" s="42">
        <v>3</v>
      </c>
      <c r="O36" s="44">
        <f t="shared" si="4"/>
        <v>6</v>
      </c>
      <c r="P36" s="44" t="s">
        <v>34</v>
      </c>
      <c r="Q36" s="42">
        <v>25</v>
      </c>
      <c r="R36" s="44">
        <f t="shared" si="5"/>
        <v>150</v>
      </c>
      <c r="S36" s="44" t="s">
        <v>45</v>
      </c>
      <c r="T36" s="43" t="s">
        <v>47</v>
      </c>
      <c r="U36" s="107">
        <v>1</v>
      </c>
      <c r="V36" s="104" t="s">
        <v>118</v>
      </c>
      <c r="W36" s="105" t="s">
        <v>33</v>
      </c>
      <c r="X36" s="104" t="s">
        <v>37</v>
      </c>
      <c r="Y36" s="104" t="s">
        <v>37</v>
      </c>
      <c r="Z36" s="108" t="s">
        <v>262</v>
      </c>
      <c r="AA36" s="104" t="s">
        <v>477</v>
      </c>
      <c r="AB36" s="106" t="s">
        <v>54</v>
      </c>
      <c r="AC36" s="105" t="s">
        <v>54</v>
      </c>
    </row>
    <row r="37" spans="1:29" s="100" customFormat="1" ht="95.25" customHeight="1" x14ac:dyDescent="0.2">
      <c r="A37" s="176"/>
      <c r="B37" s="178" t="s">
        <v>474</v>
      </c>
      <c r="C37" s="179"/>
      <c r="D37" s="179"/>
      <c r="E37" s="180"/>
      <c r="F37" s="109" t="s">
        <v>33</v>
      </c>
      <c r="G37" s="109" t="s">
        <v>418</v>
      </c>
      <c r="H37" s="112" t="s">
        <v>270</v>
      </c>
      <c r="I37" s="109" t="s">
        <v>271</v>
      </c>
      <c r="J37" s="114" t="s">
        <v>272</v>
      </c>
      <c r="K37" s="109" t="s">
        <v>273</v>
      </c>
      <c r="L37" s="109" t="s">
        <v>412</v>
      </c>
      <c r="M37" s="140">
        <v>2</v>
      </c>
      <c r="N37" s="42">
        <v>4</v>
      </c>
      <c r="O37" s="44">
        <f t="shared" si="4"/>
        <v>8</v>
      </c>
      <c r="P37" s="44" t="s">
        <v>34</v>
      </c>
      <c r="Q37" s="42">
        <v>25</v>
      </c>
      <c r="R37" s="44">
        <f t="shared" si="5"/>
        <v>200</v>
      </c>
      <c r="S37" s="44" t="s">
        <v>35</v>
      </c>
      <c r="T37" s="43" t="s">
        <v>43</v>
      </c>
      <c r="U37" s="107">
        <v>1</v>
      </c>
      <c r="V37" s="109" t="s">
        <v>413</v>
      </c>
      <c r="W37" s="104" t="s">
        <v>33</v>
      </c>
      <c r="X37" s="104" t="s">
        <v>37</v>
      </c>
      <c r="Y37" s="104" t="s">
        <v>37</v>
      </c>
      <c r="Z37" s="104" t="s">
        <v>37</v>
      </c>
      <c r="AA37" s="109" t="s">
        <v>415</v>
      </c>
      <c r="AB37" s="106" t="s">
        <v>476</v>
      </c>
      <c r="AC37" s="105" t="s">
        <v>277</v>
      </c>
    </row>
    <row r="38" spans="1:29" s="100" customFormat="1" ht="95.25" customHeight="1" x14ac:dyDescent="0.2">
      <c r="A38" s="177"/>
      <c r="B38" s="178" t="s">
        <v>474</v>
      </c>
      <c r="C38" s="179"/>
      <c r="D38" s="179"/>
      <c r="E38" s="180"/>
      <c r="F38" s="109" t="s">
        <v>33</v>
      </c>
      <c r="G38" s="109" t="s">
        <v>172</v>
      </c>
      <c r="H38" s="112" t="s">
        <v>49</v>
      </c>
      <c r="I38" s="109" t="s">
        <v>81</v>
      </c>
      <c r="J38" s="114" t="s">
        <v>85</v>
      </c>
      <c r="K38" s="109" t="s">
        <v>473</v>
      </c>
      <c r="L38" s="109" t="s">
        <v>149</v>
      </c>
      <c r="M38" s="140">
        <v>2</v>
      </c>
      <c r="N38" s="42">
        <v>3</v>
      </c>
      <c r="O38" s="44">
        <f t="shared" si="4"/>
        <v>6</v>
      </c>
      <c r="P38" s="44" t="s">
        <v>34</v>
      </c>
      <c r="Q38" s="42">
        <v>60</v>
      </c>
      <c r="R38" s="44">
        <f t="shared" si="5"/>
        <v>360</v>
      </c>
      <c r="S38" s="44" t="s">
        <v>35</v>
      </c>
      <c r="T38" s="43" t="s">
        <v>36</v>
      </c>
      <c r="U38" s="107">
        <v>1</v>
      </c>
      <c r="V38" s="109" t="s">
        <v>81</v>
      </c>
      <c r="W38" s="104" t="s">
        <v>33</v>
      </c>
      <c r="X38" s="104" t="s">
        <v>37</v>
      </c>
      <c r="Y38" s="104" t="s">
        <v>37</v>
      </c>
      <c r="Z38" s="104" t="s">
        <v>173</v>
      </c>
      <c r="AA38" s="109" t="s">
        <v>149</v>
      </c>
      <c r="AB38" s="106" t="s">
        <v>54</v>
      </c>
      <c r="AC38" s="105" t="s">
        <v>54</v>
      </c>
    </row>
  </sheetData>
  <autoFilter ref="A9:AJ38" xr:uid="{00000000-0009-0000-0000-000000000000}"/>
  <mergeCells count="26">
    <mergeCell ref="B10:B20"/>
    <mergeCell ref="B21:B30"/>
    <mergeCell ref="A10:A38"/>
    <mergeCell ref="B37:E37"/>
    <mergeCell ref="B38:E38"/>
    <mergeCell ref="A1:B4"/>
    <mergeCell ref="C1:AB2"/>
    <mergeCell ref="F8:F9"/>
    <mergeCell ref="G8:H8"/>
    <mergeCell ref="A5:AC5"/>
    <mergeCell ref="AC1:AC2"/>
    <mergeCell ref="E8:E9"/>
    <mergeCell ref="C8:C9"/>
    <mergeCell ref="D8:D9"/>
    <mergeCell ref="F6:AC6"/>
    <mergeCell ref="A7:AC7"/>
    <mergeCell ref="M8:S8"/>
    <mergeCell ref="C3:AB4"/>
    <mergeCell ref="AC3:AC4"/>
    <mergeCell ref="U8:W8"/>
    <mergeCell ref="A8:A9"/>
    <mergeCell ref="B8:B9"/>
    <mergeCell ref="X8:AC8"/>
    <mergeCell ref="A6:E6"/>
    <mergeCell ref="I8:I9"/>
    <mergeCell ref="J8:L8"/>
  </mergeCells>
  <conditionalFormatting sqref="M10:M38">
    <cfRule type="cellIs" dxfId="212" priority="13" stopIfTrue="1" operator="equal">
      <formula>10</formula>
    </cfRule>
    <cfRule type="cellIs" dxfId="211" priority="14" stopIfTrue="1" operator="equal">
      <formula>6</formula>
    </cfRule>
    <cfRule type="cellIs" dxfId="210" priority="15" stopIfTrue="1" operator="equal">
      <formula>2</formula>
    </cfRule>
    <cfRule type="cellIs" dxfId="209" priority="16" stopIfTrue="1" operator="equal">
      <formula>0</formula>
    </cfRule>
  </conditionalFormatting>
  <conditionalFormatting sqref="N10:N38">
    <cfRule type="cellIs" dxfId="208" priority="17" stopIfTrue="1" operator="equal">
      <formula>4</formula>
    </cfRule>
    <cfRule type="cellIs" dxfId="207" priority="18" stopIfTrue="1" operator="equal">
      <formula>3</formula>
    </cfRule>
    <cfRule type="cellIs" dxfId="206" priority="19" stopIfTrue="1" operator="equal">
      <formula>2</formula>
    </cfRule>
    <cfRule type="cellIs" dxfId="205" priority="20" stopIfTrue="1" operator="equal">
      <formula>1</formula>
    </cfRule>
  </conditionalFormatting>
  <conditionalFormatting sqref="O10:O38">
    <cfRule type="cellIs" dxfId="204" priority="1" stopIfTrue="1" operator="between">
      <formula>24</formula>
      <formula>40</formula>
    </cfRule>
    <cfRule type="cellIs" dxfId="203" priority="2" stopIfTrue="1" operator="between">
      <formula>10</formula>
      <formula>20</formula>
    </cfRule>
    <cfRule type="cellIs" dxfId="202" priority="3" stopIfTrue="1" operator="between">
      <formula>6</formula>
      <formula>8</formula>
    </cfRule>
    <cfRule type="cellIs" dxfId="201" priority="4" stopIfTrue="1" operator="between">
      <formula>2</formula>
      <formula>4</formula>
    </cfRule>
  </conditionalFormatting>
  <conditionalFormatting sqref="P10:P38">
    <cfRule type="expression" dxfId="200" priority="25" stopIfTrue="1">
      <formula>LEFT(P10,LEN("MUY ALTO"))="MUY ALTO"</formula>
    </cfRule>
    <cfRule type="expression" dxfId="199" priority="26" stopIfTrue="1">
      <formula>LEFT(P10,LEN("ALTO"))="ALTO"</formula>
    </cfRule>
    <cfRule type="expression" dxfId="198" priority="27" stopIfTrue="1">
      <formula>LEFT(P10,LEN("MEDIO"))="MEDIO"</formula>
    </cfRule>
  </conditionalFormatting>
  <conditionalFormatting sqref="Q10:Q38">
    <cfRule type="cellIs" dxfId="197" priority="5" stopIfTrue="1" operator="greaterThanOrEqual">
      <formula>100</formula>
    </cfRule>
    <cfRule type="cellIs" dxfId="196" priority="6" stopIfTrue="1" operator="between">
      <formula>60</formula>
      <formula>99</formula>
    </cfRule>
    <cfRule type="cellIs" dxfId="195" priority="7" stopIfTrue="1" operator="between">
      <formula>25</formula>
      <formula>59</formula>
    </cfRule>
    <cfRule type="cellIs" dxfId="194" priority="8" stopIfTrue="1" operator="between">
      <formula>0</formula>
      <formula>10</formula>
    </cfRule>
  </conditionalFormatting>
  <conditionalFormatting sqref="R10:R38">
    <cfRule type="cellIs" dxfId="193" priority="9" stopIfTrue="1" operator="between">
      <formula>600</formula>
      <formula>4000</formula>
    </cfRule>
    <cfRule type="cellIs" dxfId="192" priority="10" stopIfTrue="1" operator="between">
      <formula>150</formula>
      <formula>500</formula>
    </cfRule>
    <cfRule type="cellIs" dxfId="191" priority="11" stopIfTrue="1" operator="between">
      <formula>40</formula>
      <formula>120</formula>
    </cfRule>
    <cfRule type="cellIs" dxfId="190" priority="12" stopIfTrue="1" operator="between">
      <formula>0</formula>
      <formula>20</formula>
    </cfRule>
  </conditionalFormatting>
  <conditionalFormatting sqref="S10:S38">
    <cfRule type="expression" dxfId="189" priority="28" stopIfTrue="1">
      <formula>LEFT(S10,LEN("Situación"))="Situación"</formula>
    </cfRule>
    <cfRule type="expression" dxfId="188" priority="29" stopIfTrue="1">
      <formula>LEFT(S10,LEN("Corregir"))="Corregir"</formula>
    </cfRule>
    <cfRule type="expression" dxfId="187" priority="30" stopIfTrue="1">
      <formula>LEFT(S10,LEN("Mejorar"))="Mejorar"</formula>
    </cfRule>
  </conditionalFormatting>
  <conditionalFormatting sqref="T10:T38">
    <cfRule type="containsText" dxfId="186" priority="21" stopIfTrue="1" operator="containsText" text="NO ACEPTABLE: Situación Crítica, corrección urgente">
      <formula>NOT(ISERROR(SEARCH(("NO ACEPTABLE: Situación Crítica, corrección urgente"),(T10))))</formula>
    </cfRule>
    <cfRule type="containsText" dxfId="185" priority="22" stopIfTrue="1" operator="containsText" text="NO ACEPTABLE O ACEPTABLE CON CONTROL ESPECÍFICO: Corregir o adoptar medidas de control">
      <formula>NOT(ISERROR(SEARCH(("NO ACEPTABLE O ACEPTABLE CON CONTROL ESPECÍFICO: Corregir o adoptar medidas de control"),(T10))))</formula>
    </cfRule>
    <cfRule type="containsText" dxfId="184" priority="23" stopIfTrue="1" operator="containsText" text="MEJORABLE: Mejorar el control existente">
      <formula>NOT(ISERROR(SEARCH(("MEJORABLE: Mejorar el control existente"),(T10))))</formula>
    </cfRule>
    <cfRule type="containsText" dxfId="183" priority="24" stopIfTrue="1" operator="containsText" text="ACEPTABLE: No intervenir, Salvo que un análisis más preciso lo justifique">
      <formula>NOT(ISERROR(SEARCH(("ACEPTABLE: No intervenir, Salvo que un análisis más preciso lo justifique"),(T10))))</formula>
    </cfRule>
  </conditionalFormatting>
  <pageMargins left="0.23622047244094491" right="0.23622047244094491" top="0.74803149606299213" bottom="0.74803149606299213" header="0.31496062992125984" footer="0.31496062992125984"/>
  <pageSetup paperSize="9" scale="25"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7" tint="0.39997558519241921"/>
  </sheetPr>
  <dimension ref="A1:AJ941"/>
  <sheetViews>
    <sheetView zoomScale="80" zoomScaleNormal="80" workbookViewId="0">
      <selection sqref="A1:AJ941"/>
    </sheetView>
  </sheetViews>
  <sheetFormatPr baseColWidth="10" defaultColWidth="14.42578125" defaultRowHeight="12.75" x14ac:dyDescent="0.2"/>
  <cols>
    <col min="1" max="1" width="11.42578125" style="25" customWidth="1"/>
    <col min="2" max="2" width="15.7109375" style="25" customWidth="1"/>
    <col min="3" max="3" width="9.140625" style="25" customWidth="1"/>
    <col min="4" max="4" width="18.140625" customWidth="1"/>
    <col min="5" max="5" width="20.42578125" customWidth="1"/>
    <col min="6" max="6" width="10.7109375" customWidth="1"/>
    <col min="7" max="7" width="32.28515625" customWidth="1"/>
    <col min="8" max="8" width="39.140625" customWidth="1"/>
    <col min="9" max="9" width="26.7109375" customWidth="1"/>
    <col min="10" max="10" width="32.5703125" customWidth="1"/>
    <col min="11" max="11" width="15.5703125" customWidth="1"/>
    <col min="12" max="12" width="18.140625" customWidth="1"/>
    <col min="13" max="13" width="3" customWidth="1"/>
    <col min="14" max="14" width="4.7109375" customWidth="1"/>
    <col min="15" max="15" width="4" customWidth="1"/>
    <col min="16" max="16" width="27.7109375" customWidth="1"/>
    <col min="17" max="17" width="6.28515625" customWidth="1"/>
    <col min="18" max="18" width="6.7109375" customWidth="1"/>
    <col min="19" max="19" width="28.7109375" customWidth="1"/>
    <col min="20" max="20" width="22.7109375" style="25" customWidth="1"/>
    <col min="21" max="21" width="14.42578125" customWidth="1"/>
    <col min="22" max="22" width="17.28515625" customWidth="1"/>
    <col min="23" max="23" width="19.5703125" customWidth="1"/>
    <col min="24" max="24" width="13.5703125" customWidth="1"/>
    <col min="26" max="26" width="30.28515625" customWidth="1"/>
    <col min="27" max="28" width="27" customWidth="1"/>
    <col min="29" max="29" width="25" customWidth="1"/>
    <col min="30" max="36" width="10.7109375" customWidth="1"/>
  </cols>
  <sheetData>
    <row r="1" spans="1:36" s="12" customFormat="1" ht="24.75" customHeight="1" thickTop="1" thickBot="1" x14ac:dyDescent="0.25">
      <c r="A1" s="157"/>
      <c r="B1" s="157"/>
      <c r="C1" s="158" t="str">
        <f>+ADMINISTRACIÓN!C1</f>
        <v>CONJUNTO RESIDENCIAL ABEDUL - PH</v>
      </c>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61" t="s">
        <v>585</v>
      </c>
      <c r="AD1" s="49"/>
      <c r="AE1" s="49"/>
      <c r="AF1" s="49"/>
      <c r="AG1" s="49"/>
      <c r="AH1" s="49"/>
      <c r="AI1" s="49"/>
    </row>
    <row r="2" spans="1:36" s="12" customFormat="1" ht="21" customHeight="1" thickTop="1" thickBot="1" x14ac:dyDescent="0.25">
      <c r="A2" s="157"/>
      <c r="B2" s="157"/>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61"/>
      <c r="AD2" s="49"/>
      <c r="AE2" s="49"/>
      <c r="AF2" s="49"/>
      <c r="AG2" s="49"/>
      <c r="AH2" s="49"/>
      <c r="AI2" s="49"/>
    </row>
    <row r="3" spans="1:36" s="12" customFormat="1" ht="24.75" customHeight="1" thickTop="1" thickBot="1" x14ac:dyDescent="0.25">
      <c r="A3" s="157"/>
      <c r="B3" s="157"/>
      <c r="C3" s="168" t="s">
        <v>268</v>
      </c>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9" t="s">
        <v>586</v>
      </c>
      <c r="AD3" s="49"/>
      <c r="AE3" s="49"/>
      <c r="AF3" s="49"/>
      <c r="AG3" s="49"/>
      <c r="AH3" s="49"/>
      <c r="AI3" s="49"/>
    </row>
    <row r="4" spans="1:36" s="12" customFormat="1" ht="21.75" customHeight="1" thickTop="1" x14ac:dyDescent="0.2">
      <c r="A4" s="187"/>
      <c r="B4" s="187"/>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3"/>
      <c r="AD4" s="49"/>
      <c r="AE4" s="49"/>
      <c r="AF4" s="49"/>
      <c r="AG4" s="49"/>
      <c r="AH4" s="49"/>
      <c r="AI4" s="49"/>
    </row>
    <row r="5" spans="1:36" s="12" customFormat="1" ht="23.25" customHeight="1" x14ac:dyDescent="0.2">
      <c r="A5" s="191" t="s">
        <v>588</v>
      </c>
      <c r="B5" s="191"/>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49"/>
      <c r="AE5" s="49"/>
      <c r="AF5" s="49"/>
      <c r="AG5" s="49"/>
      <c r="AH5" s="49"/>
      <c r="AI5" s="49"/>
    </row>
    <row r="6" spans="1:36" s="12" customFormat="1" ht="25.5" customHeight="1" x14ac:dyDescent="0.2">
      <c r="A6" s="185" t="s">
        <v>278</v>
      </c>
      <c r="B6" s="185"/>
      <c r="C6" s="185"/>
      <c r="D6" s="185"/>
      <c r="E6" s="185"/>
      <c r="F6" s="192" t="s">
        <v>487</v>
      </c>
      <c r="G6" s="192"/>
      <c r="H6" s="192"/>
      <c r="I6" s="192"/>
      <c r="J6" s="192"/>
      <c r="K6" s="192"/>
      <c r="L6" s="192"/>
      <c r="M6" s="192"/>
      <c r="N6" s="192"/>
      <c r="O6" s="192"/>
      <c r="P6" s="192"/>
      <c r="Q6" s="192"/>
      <c r="R6" s="192"/>
      <c r="S6" s="192"/>
      <c r="T6" s="192"/>
      <c r="U6" s="192"/>
      <c r="V6" s="192"/>
      <c r="W6" s="192"/>
      <c r="X6" s="192"/>
      <c r="Y6" s="192"/>
      <c r="Z6" s="192"/>
      <c r="AA6" s="192"/>
      <c r="AB6" s="192"/>
      <c r="AC6" s="192"/>
      <c r="AD6" s="49"/>
      <c r="AE6" s="49"/>
      <c r="AF6" s="49"/>
      <c r="AG6" s="49"/>
      <c r="AH6" s="49"/>
      <c r="AI6" s="49"/>
    </row>
    <row r="7" spans="1:36" ht="15.75" customHeight="1" x14ac:dyDescent="0.2">
      <c r="A7" s="190"/>
      <c r="B7" s="190"/>
      <c r="C7" s="190"/>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41"/>
      <c r="AE7" s="41"/>
      <c r="AF7" s="41"/>
      <c r="AG7" s="41"/>
      <c r="AH7" s="41"/>
      <c r="AI7" s="41"/>
      <c r="AJ7" s="41"/>
    </row>
    <row r="8" spans="1:36" s="67" customFormat="1" ht="29.25" customHeight="1" x14ac:dyDescent="0.2">
      <c r="A8" s="186" t="s">
        <v>0</v>
      </c>
      <c r="B8" s="186" t="s">
        <v>109</v>
      </c>
      <c r="C8" s="186" t="s">
        <v>1</v>
      </c>
      <c r="D8" s="186" t="s">
        <v>2</v>
      </c>
      <c r="E8" s="186" t="s">
        <v>3</v>
      </c>
      <c r="F8" s="186" t="s">
        <v>4</v>
      </c>
      <c r="G8" s="186" t="s">
        <v>5</v>
      </c>
      <c r="H8" s="186"/>
      <c r="I8" s="186" t="s">
        <v>6</v>
      </c>
      <c r="J8" s="186" t="s">
        <v>7</v>
      </c>
      <c r="K8" s="186"/>
      <c r="L8" s="186"/>
      <c r="M8" s="184" t="s">
        <v>8</v>
      </c>
      <c r="N8" s="184"/>
      <c r="O8" s="184"/>
      <c r="P8" s="184"/>
      <c r="Q8" s="184"/>
      <c r="R8" s="184"/>
      <c r="S8" s="184"/>
      <c r="T8" s="135" t="s">
        <v>9</v>
      </c>
      <c r="U8" s="186" t="s">
        <v>10</v>
      </c>
      <c r="V8" s="186"/>
      <c r="W8" s="186"/>
      <c r="X8" s="184" t="s">
        <v>11</v>
      </c>
      <c r="Y8" s="184"/>
      <c r="Z8" s="184"/>
      <c r="AA8" s="184"/>
      <c r="AB8" s="184"/>
      <c r="AC8" s="184"/>
      <c r="AD8" s="132"/>
      <c r="AE8" s="132"/>
      <c r="AF8" s="132"/>
      <c r="AG8" s="132"/>
      <c r="AH8" s="132"/>
      <c r="AI8" s="132"/>
      <c r="AJ8" s="132"/>
    </row>
    <row r="9" spans="1:36" s="67" customFormat="1" ht="57.75" customHeight="1" x14ac:dyDescent="0.2">
      <c r="A9" s="186"/>
      <c r="B9" s="186"/>
      <c r="C9" s="186"/>
      <c r="D9" s="186"/>
      <c r="E9" s="186"/>
      <c r="F9" s="186"/>
      <c r="G9" s="135" t="s">
        <v>12</v>
      </c>
      <c r="H9" s="135" t="s">
        <v>13</v>
      </c>
      <c r="I9" s="186"/>
      <c r="J9" s="135" t="s">
        <v>14</v>
      </c>
      <c r="K9" s="135" t="s">
        <v>15</v>
      </c>
      <c r="L9" s="135" t="s">
        <v>16</v>
      </c>
      <c r="M9" s="136" t="s">
        <v>17</v>
      </c>
      <c r="N9" s="136" t="s">
        <v>18</v>
      </c>
      <c r="O9" s="136" t="s">
        <v>19</v>
      </c>
      <c r="P9" s="135" t="s">
        <v>20</v>
      </c>
      <c r="Q9" s="135" t="s">
        <v>21</v>
      </c>
      <c r="R9" s="136" t="s">
        <v>22</v>
      </c>
      <c r="S9" s="135" t="s">
        <v>20</v>
      </c>
      <c r="T9" s="135" t="s">
        <v>23</v>
      </c>
      <c r="U9" s="135" t="s">
        <v>24</v>
      </c>
      <c r="V9" s="135" t="s">
        <v>25</v>
      </c>
      <c r="W9" s="135" t="s">
        <v>26</v>
      </c>
      <c r="X9" s="136" t="s">
        <v>27</v>
      </c>
      <c r="Y9" s="136" t="s">
        <v>28</v>
      </c>
      <c r="Z9" s="135" t="s">
        <v>29</v>
      </c>
      <c r="AA9" s="135" t="s">
        <v>30</v>
      </c>
      <c r="AB9" s="135" t="s">
        <v>31</v>
      </c>
      <c r="AC9" s="135" t="s">
        <v>32</v>
      </c>
      <c r="AD9" s="132"/>
      <c r="AE9" s="132"/>
      <c r="AF9" s="132"/>
      <c r="AG9" s="132"/>
      <c r="AH9" s="132"/>
      <c r="AI9" s="132"/>
      <c r="AJ9" s="132"/>
    </row>
    <row r="10" spans="1:36" s="131" customFormat="1" ht="117" customHeight="1" x14ac:dyDescent="0.2">
      <c r="A10" s="181" t="s">
        <v>544</v>
      </c>
      <c r="B10" s="189" t="s">
        <v>555</v>
      </c>
      <c r="C10" s="137" t="s">
        <v>556</v>
      </c>
      <c r="D10" s="89" t="s">
        <v>559</v>
      </c>
      <c r="E10" s="89" t="s">
        <v>558</v>
      </c>
      <c r="F10" s="89" t="s">
        <v>33</v>
      </c>
      <c r="G10" s="89" t="s">
        <v>569</v>
      </c>
      <c r="H10" s="89" t="s">
        <v>518</v>
      </c>
      <c r="I10" s="89" t="s">
        <v>566</v>
      </c>
      <c r="J10" s="89" t="s">
        <v>570</v>
      </c>
      <c r="K10" s="89" t="s">
        <v>71</v>
      </c>
      <c r="L10" s="89" t="s">
        <v>567</v>
      </c>
      <c r="M10" s="140">
        <v>2</v>
      </c>
      <c r="N10" s="42">
        <v>3</v>
      </c>
      <c r="O10" s="44">
        <f t="shared" ref="O10:O17" si="0">M10*N10</f>
        <v>6</v>
      </c>
      <c r="P10" s="44" t="s">
        <v>39</v>
      </c>
      <c r="Q10" s="42">
        <v>25</v>
      </c>
      <c r="R10" s="44">
        <f t="shared" ref="R10:R17" si="1">O10*Q10</f>
        <v>150</v>
      </c>
      <c r="S10" s="44" t="s">
        <v>42</v>
      </c>
      <c r="T10" s="43" t="s">
        <v>43</v>
      </c>
      <c r="U10" s="138">
        <v>1</v>
      </c>
      <c r="V10" s="89" t="s">
        <v>568</v>
      </c>
      <c r="W10" s="116" t="s">
        <v>33</v>
      </c>
      <c r="X10" s="89" t="s">
        <v>37</v>
      </c>
      <c r="Y10" s="89" t="s">
        <v>37</v>
      </c>
      <c r="Z10" s="117" t="s">
        <v>571</v>
      </c>
      <c r="AA10" s="117" t="s">
        <v>495</v>
      </c>
      <c r="AB10" s="95" t="s">
        <v>54</v>
      </c>
      <c r="AC10" s="116" t="s">
        <v>54</v>
      </c>
    </row>
    <row r="11" spans="1:36" s="131" customFormat="1" ht="117" customHeight="1" x14ac:dyDescent="0.2">
      <c r="A11" s="181"/>
      <c r="B11" s="189"/>
      <c r="C11" s="137" t="s">
        <v>556</v>
      </c>
      <c r="D11" s="90" t="s">
        <v>220</v>
      </c>
      <c r="E11" s="89" t="s">
        <v>558</v>
      </c>
      <c r="F11" s="89" t="s">
        <v>33</v>
      </c>
      <c r="G11" s="89" t="s">
        <v>221</v>
      </c>
      <c r="H11" s="89" t="s">
        <v>50</v>
      </c>
      <c r="I11" s="89" t="s">
        <v>576</v>
      </c>
      <c r="J11" s="139" t="s">
        <v>152</v>
      </c>
      <c r="K11" s="89" t="s">
        <v>400</v>
      </c>
      <c r="L11" s="89" t="s">
        <v>577</v>
      </c>
      <c r="M11" s="140">
        <v>2</v>
      </c>
      <c r="N11" s="42">
        <v>1</v>
      </c>
      <c r="O11" s="44">
        <f t="shared" si="0"/>
        <v>2</v>
      </c>
      <c r="P11" s="44" t="s">
        <v>39</v>
      </c>
      <c r="Q11" s="42">
        <v>27</v>
      </c>
      <c r="R11" s="44">
        <f t="shared" si="1"/>
        <v>54</v>
      </c>
      <c r="S11" s="44" t="s">
        <v>42</v>
      </c>
      <c r="T11" s="43" t="s">
        <v>43</v>
      </c>
      <c r="U11" s="138">
        <v>1</v>
      </c>
      <c r="V11" s="139" t="s">
        <v>66</v>
      </c>
      <c r="W11" s="139" t="s">
        <v>33</v>
      </c>
      <c r="X11" s="89" t="s">
        <v>37</v>
      </c>
      <c r="Y11" s="89" t="s">
        <v>37</v>
      </c>
      <c r="Z11" s="89" t="s">
        <v>37</v>
      </c>
      <c r="AA11" s="89" t="s">
        <v>63</v>
      </c>
      <c r="AB11" s="139" t="s">
        <v>54</v>
      </c>
      <c r="AC11" s="139" t="s">
        <v>54</v>
      </c>
    </row>
    <row r="12" spans="1:36" s="99" customFormat="1" ht="117" customHeight="1" x14ac:dyDescent="0.2">
      <c r="A12" s="181"/>
      <c r="B12" s="189"/>
      <c r="C12" s="137" t="s">
        <v>556</v>
      </c>
      <c r="D12" s="90" t="s">
        <v>572</v>
      </c>
      <c r="E12" s="90" t="s">
        <v>573</v>
      </c>
      <c r="F12" s="89" t="s">
        <v>33</v>
      </c>
      <c r="G12" s="89" t="s">
        <v>574</v>
      </c>
      <c r="H12" s="89" t="s">
        <v>79</v>
      </c>
      <c r="I12" s="89" t="s">
        <v>498</v>
      </c>
      <c r="J12" s="89" t="s">
        <v>84</v>
      </c>
      <c r="K12" s="89" t="s">
        <v>84</v>
      </c>
      <c r="L12" s="89" t="s">
        <v>499</v>
      </c>
      <c r="M12" s="140">
        <v>2</v>
      </c>
      <c r="N12" s="42">
        <v>2</v>
      </c>
      <c r="O12" s="44">
        <f t="shared" si="0"/>
        <v>4</v>
      </c>
      <c r="P12" s="44" t="s">
        <v>39</v>
      </c>
      <c r="Q12" s="42">
        <v>25</v>
      </c>
      <c r="R12" s="44">
        <f t="shared" si="1"/>
        <v>100</v>
      </c>
      <c r="S12" s="44" t="s">
        <v>42</v>
      </c>
      <c r="T12" s="43" t="s">
        <v>43</v>
      </c>
      <c r="U12" s="138">
        <v>2</v>
      </c>
      <c r="V12" s="89" t="s">
        <v>98</v>
      </c>
      <c r="W12" s="89" t="s">
        <v>33</v>
      </c>
      <c r="X12" s="89" t="s">
        <v>37</v>
      </c>
      <c r="Y12" s="89" t="s">
        <v>37</v>
      </c>
      <c r="Z12" s="89" t="s">
        <v>37</v>
      </c>
      <c r="AA12" s="89" t="s">
        <v>500</v>
      </c>
      <c r="AB12" s="139" t="s">
        <v>54</v>
      </c>
      <c r="AC12" s="139" t="s">
        <v>575</v>
      </c>
      <c r="AD12" s="133"/>
    </row>
    <row r="13" spans="1:36" s="99" customFormat="1" ht="135.75" customHeight="1" x14ac:dyDescent="0.2">
      <c r="A13" s="181"/>
      <c r="B13" s="189"/>
      <c r="C13" s="137" t="s">
        <v>556</v>
      </c>
      <c r="D13" s="71" t="s">
        <v>578</v>
      </c>
      <c r="E13" s="71" t="s">
        <v>579</v>
      </c>
      <c r="F13" s="72" t="s">
        <v>33</v>
      </c>
      <c r="G13" s="72" t="s">
        <v>580</v>
      </c>
      <c r="H13" s="72" t="s">
        <v>552</v>
      </c>
      <c r="I13" s="72" t="s">
        <v>410</v>
      </c>
      <c r="J13" s="72" t="s">
        <v>71</v>
      </c>
      <c r="K13" s="72" t="s">
        <v>382</v>
      </c>
      <c r="L13" s="72" t="s">
        <v>501</v>
      </c>
      <c r="M13" s="140">
        <v>2</v>
      </c>
      <c r="N13" s="42">
        <v>1</v>
      </c>
      <c r="O13" s="44">
        <f t="shared" si="0"/>
        <v>2</v>
      </c>
      <c r="P13" s="44" t="s">
        <v>39</v>
      </c>
      <c r="Q13" s="42">
        <v>25</v>
      </c>
      <c r="R13" s="44">
        <f t="shared" si="1"/>
        <v>50</v>
      </c>
      <c r="S13" s="44" t="s">
        <v>42</v>
      </c>
      <c r="T13" s="43" t="s">
        <v>43</v>
      </c>
      <c r="U13" s="73">
        <v>2</v>
      </c>
      <c r="V13" s="72" t="s">
        <v>97</v>
      </c>
      <c r="W13" s="72" t="s">
        <v>37</v>
      </c>
      <c r="X13" s="72" t="s">
        <v>37</v>
      </c>
      <c r="Y13" s="72" t="s">
        <v>37</v>
      </c>
      <c r="Z13" s="72" t="s">
        <v>383</v>
      </c>
      <c r="AA13" s="72" t="s">
        <v>582</v>
      </c>
      <c r="AB13" s="76" t="s">
        <v>581</v>
      </c>
      <c r="AC13" s="77" t="s">
        <v>54</v>
      </c>
      <c r="AD13" s="79"/>
    </row>
    <row r="14" spans="1:36" s="99" customFormat="1" ht="117" customHeight="1" x14ac:dyDescent="0.2">
      <c r="A14" s="181"/>
      <c r="B14" s="189"/>
      <c r="C14" s="137" t="s">
        <v>556</v>
      </c>
      <c r="D14" s="71" t="s">
        <v>578</v>
      </c>
      <c r="E14" s="71" t="s">
        <v>190</v>
      </c>
      <c r="F14" s="72" t="s">
        <v>33</v>
      </c>
      <c r="G14" s="72" t="s">
        <v>583</v>
      </c>
      <c r="H14" s="72" t="s">
        <v>584</v>
      </c>
      <c r="I14" s="72" t="s">
        <v>511</v>
      </c>
      <c r="J14" s="72" t="s">
        <v>71</v>
      </c>
      <c r="K14" s="72" t="s">
        <v>71</v>
      </c>
      <c r="L14" s="72" t="s">
        <v>93</v>
      </c>
      <c r="M14" s="140">
        <v>2</v>
      </c>
      <c r="N14" s="42">
        <v>2</v>
      </c>
      <c r="O14" s="44">
        <f t="shared" si="0"/>
        <v>4</v>
      </c>
      <c r="P14" s="44" t="s">
        <v>39</v>
      </c>
      <c r="Q14" s="42">
        <v>25</v>
      </c>
      <c r="R14" s="44">
        <f t="shared" si="1"/>
        <v>100</v>
      </c>
      <c r="S14" s="44" t="s">
        <v>42</v>
      </c>
      <c r="T14" s="43" t="s">
        <v>43</v>
      </c>
      <c r="U14" s="73">
        <v>2</v>
      </c>
      <c r="V14" s="72" t="s">
        <v>184</v>
      </c>
      <c r="W14" s="72" t="s">
        <v>87</v>
      </c>
      <c r="X14" s="72" t="s">
        <v>37</v>
      </c>
      <c r="Y14" s="72" t="s">
        <v>37</v>
      </c>
      <c r="Z14" s="72" t="s">
        <v>186</v>
      </c>
      <c r="AA14" s="72" t="s">
        <v>191</v>
      </c>
      <c r="AB14" s="76" t="s">
        <v>187</v>
      </c>
      <c r="AC14" s="77" t="s">
        <v>188</v>
      </c>
      <c r="AD14" s="79"/>
    </row>
    <row r="15" spans="1:36" s="99" customFormat="1" ht="117" customHeight="1" x14ac:dyDescent="0.2">
      <c r="A15" s="181"/>
      <c r="B15" s="189"/>
      <c r="C15" s="137" t="s">
        <v>556</v>
      </c>
      <c r="D15" s="91" t="s">
        <v>119</v>
      </c>
      <c r="E15" s="91" t="s">
        <v>108</v>
      </c>
      <c r="F15" s="90" t="s">
        <v>33</v>
      </c>
      <c r="G15" s="89" t="s">
        <v>158</v>
      </c>
      <c r="H15" s="91" t="s">
        <v>73</v>
      </c>
      <c r="I15" s="89" t="s">
        <v>117</v>
      </c>
      <c r="J15" s="89" t="s">
        <v>116</v>
      </c>
      <c r="K15" s="89" t="s">
        <v>71</v>
      </c>
      <c r="L15" s="89" t="s">
        <v>156</v>
      </c>
      <c r="M15" s="140">
        <v>2</v>
      </c>
      <c r="N15" s="42">
        <v>3</v>
      </c>
      <c r="O15" s="44">
        <f t="shared" si="0"/>
        <v>6</v>
      </c>
      <c r="P15" s="44" t="s">
        <v>34</v>
      </c>
      <c r="Q15" s="42">
        <v>25</v>
      </c>
      <c r="R15" s="44">
        <f t="shared" si="1"/>
        <v>150</v>
      </c>
      <c r="S15" s="44" t="s">
        <v>45</v>
      </c>
      <c r="T15" s="43" t="s">
        <v>47</v>
      </c>
      <c r="U15" s="94">
        <v>3</v>
      </c>
      <c r="V15" s="94"/>
      <c r="W15" s="89" t="s">
        <v>118</v>
      </c>
      <c r="X15" s="116" t="s">
        <v>33</v>
      </c>
      <c r="Y15" s="89" t="s">
        <v>37</v>
      </c>
      <c r="Z15" s="89" t="s">
        <v>37</v>
      </c>
      <c r="AA15" s="117" t="s">
        <v>37</v>
      </c>
      <c r="AB15" s="89" t="s">
        <v>120</v>
      </c>
      <c r="AC15" s="95" t="s">
        <v>54</v>
      </c>
      <c r="AD15" s="134"/>
    </row>
    <row r="16" spans="1:36" s="99" customFormat="1" ht="73.5" customHeight="1" x14ac:dyDescent="0.2">
      <c r="A16" s="181"/>
      <c r="B16" s="188" t="s">
        <v>474</v>
      </c>
      <c r="C16" s="188"/>
      <c r="D16" s="188"/>
      <c r="E16" s="188"/>
      <c r="F16" s="89" t="s">
        <v>33</v>
      </c>
      <c r="G16" s="90" t="s">
        <v>418</v>
      </c>
      <c r="H16" s="91" t="s">
        <v>270</v>
      </c>
      <c r="I16" s="89" t="s">
        <v>271</v>
      </c>
      <c r="J16" s="92" t="s">
        <v>272</v>
      </c>
      <c r="K16" s="89" t="s">
        <v>273</v>
      </c>
      <c r="L16" s="92" t="s">
        <v>272</v>
      </c>
      <c r="M16" s="140">
        <v>2</v>
      </c>
      <c r="N16" s="42">
        <v>1</v>
      </c>
      <c r="O16" s="44">
        <f t="shared" si="0"/>
        <v>2</v>
      </c>
      <c r="P16" s="44" t="s">
        <v>34</v>
      </c>
      <c r="Q16" s="42">
        <v>25</v>
      </c>
      <c r="R16" s="44">
        <f t="shared" si="1"/>
        <v>50</v>
      </c>
      <c r="S16" s="44" t="s">
        <v>35</v>
      </c>
      <c r="T16" s="43" t="s">
        <v>43</v>
      </c>
      <c r="U16" s="94">
        <v>11</v>
      </c>
      <c r="V16" s="89" t="s">
        <v>413</v>
      </c>
      <c r="W16" s="78"/>
      <c r="X16" s="89"/>
      <c r="Y16" s="89" t="s">
        <v>37</v>
      </c>
      <c r="Z16" s="89" t="s">
        <v>37</v>
      </c>
      <c r="AA16" s="89" t="s">
        <v>475</v>
      </c>
      <c r="AB16" s="95" t="s">
        <v>414</v>
      </c>
      <c r="AC16" s="116"/>
    </row>
    <row r="17" spans="1:29" s="99" customFormat="1" ht="73.5" customHeight="1" x14ac:dyDescent="0.2">
      <c r="A17" s="181"/>
      <c r="B17" s="188" t="s">
        <v>474</v>
      </c>
      <c r="C17" s="188"/>
      <c r="D17" s="188"/>
      <c r="E17" s="188"/>
      <c r="F17" s="90" t="s">
        <v>33</v>
      </c>
      <c r="G17" s="90" t="s">
        <v>172</v>
      </c>
      <c r="H17" s="97" t="s">
        <v>49</v>
      </c>
      <c r="I17" s="90" t="s">
        <v>81</v>
      </c>
      <c r="J17" s="98" t="s">
        <v>85</v>
      </c>
      <c r="K17" s="90" t="s">
        <v>473</v>
      </c>
      <c r="L17" s="90" t="s">
        <v>149</v>
      </c>
      <c r="M17" s="140">
        <v>2</v>
      </c>
      <c r="N17" s="42">
        <v>3</v>
      </c>
      <c r="O17" s="44">
        <f t="shared" si="0"/>
        <v>6</v>
      </c>
      <c r="P17" s="44" t="s">
        <v>34</v>
      </c>
      <c r="Q17" s="42">
        <v>60</v>
      </c>
      <c r="R17" s="44">
        <f t="shared" si="1"/>
        <v>360</v>
      </c>
      <c r="S17" s="44" t="s">
        <v>35</v>
      </c>
      <c r="T17" s="43" t="s">
        <v>36</v>
      </c>
      <c r="U17" s="94">
        <v>12</v>
      </c>
      <c r="V17" s="90" t="s">
        <v>81</v>
      </c>
      <c r="W17" s="89" t="s">
        <v>33</v>
      </c>
      <c r="X17" s="89" t="s">
        <v>37</v>
      </c>
      <c r="Y17" s="89" t="s">
        <v>37</v>
      </c>
      <c r="Z17" s="89" t="s">
        <v>173</v>
      </c>
      <c r="AA17" s="90" t="s">
        <v>149</v>
      </c>
      <c r="AB17" s="95" t="s">
        <v>54</v>
      </c>
      <c r="AC17" s="116" t="s">
        <v>54</v>
      </c>
    </row>
    <row r="18" spans="1:29" ht="12.75" customHeight="1" x14ac:dyDescent="0.2">
      <c r="A18" s="45"/>
      <c r="B18" s="45"/>
      <c r="F18" s="45"/>
    </row>
    <row r="19" spans="1:29" ht="12.75" customHeight="1" x14ac:dyDescent="0.2">
      <c r="A19" s="45"/>
      <c r="B19" s="45"/>
      <c r="F19" s="45"/>
    </row>
    <row r="20" spans="1:29" ht="12.75" customHeight="1" x14ac:dyDescent="0.2">
      <c r="A20" s="45"/>
      <c r="B20" s="45"/>
      <c r="F20" s="45"/>
    </row>
    <row r="21" spans="1:29" ht="12.75" customHeight="1" x14ac:dyDescent="0.2">
      <c r="A21" s="45"/>
      <c r="B21" s="45"/>
      <c r="F21" s="45"/>
    </row>
    <row r="22" spans="1:29" ht="12.75" customHeight="1" x14ac:dyDescent="0.2">
      <c r="A22" s="45"/>
      <c r="B22" s="45"/>
      <c r="F22" s="45"/>
    </row>
    <row r="23" spans="1:29" ht="12.75" customHeight="1" x14ac:dyDescent="0.2">
      <c r="A23" s="45"/>
      <c r="B23" s="45"/>
      <c r="F23" s="45"/>
    </row>
    <row r="24" spans="1:29" ht="12.75" customHeight="1" x14ac:dyDescent="0.2">
      <c r="A24" s="45"/>
      <c r="B24" s="45"/>
      <c r="F24" s="45"/>
    </row>
    <row r="25" spans="1:29" ht="12.75" customHeight="1" x14ac:dyDescent="0.2">
      <c r="A25" s="45"/>
      <c r="B25" s="45"/>
      <c r="F25" s="45"/>
    </row>
    <row r="26" spans="1:29" ht="12.75" customHeight="1" x14ac:dyDescent="0.2">
      <c r="A26" s="45"/>
      <c r="B26" s="45"/>
      <c r="F26" s="45"/>
    </row>
    <row r="27" spans="1:29" ht="12.75" customHeight="1" x14ac:dyDescent="0.2">
      <c r="A27" s="45"/>
      <c r="B27" s="45"/>
      <c r="F27" s="45"/>
    </row>
    <row r="28" spans="1:29" ht="12.75" customHeight="1" x14ac:dyDescent="0.2">
      <c r="A28" s="45"/>
      <c r="B28" s="45"/>
      <c r="F28" s="45"/>
    </row>
    <row r="29" spans="1:29" ht="12.75" customHeight="1" x14ac:dyDescent="0.2">
      <c r="A29" s="45"/>
      <c r="B29" s="45"/>
      <c r="F29" s="45"/>
    </row>
    <row r="30" spans="1:29" ht="12.75" customHeight="1" x14ac:dyDescent="0.2">
      <c r="A30" s="45"/>
      <c r="B30" s="45"/>
      <c r="F30" s="45"/>
    </row>
    <row r="31" spans="1:29" ht="12.75" customHeight="1" x14ac:dyDescent="0.2">
      <c r="A31" s="45"/>
      <c r="B31" s="45"/>
      <c r="F31" s="45"/>
    </row>
    <row r="32" spans="1:29" ht="12.75" customHeight="1" x14ac:dyDescent="0.2">
      <c r="A32" s="45"/>
      <c r="B32" s="45"/>
      <c r="F32" s="45"/>
    </row>
    <row r="33" spans="1:6" ht="12.75" customHeight="1" x14ac:dyDescent="0.2">
      <c r="A33" s="45"/>
      <c r="B33" s="45"/>
      <c r="F33" s="45"/>
    </row>
    <row r="34" spans="1:6" ht="12.75" customHeight="1" x14ac:dyDescent="0.2">
      <c r="A34" s="45"/>
      <c r="B34" s="45"/>
      <c r="F34" s="45"/>
    </row>
    <row r="35" spans="1:6" ht="12.75" customHeight="1" x14ac:dyDescent="0.2">
      <c r="A35" s="45"/>
      <c r="B35" s="45"/>
      <c r="F35" s="45"/>
    </row>
    <row r="36" spans="1:6" ht="12.75" customHeight="1" x14ac:dyDescent="0.2">
      <c r="A36" s="45"/>
      <c r="B36" s="45"/>
      <c r="F36" s="45"/>
    </row>
    <row r="37" spans="1:6" ht="12.75" customHeight="1" x14ac:dyDescent="0.2">
      <c r="A37" s="45"/>
      <c r="B37" s="45"/>
      <c r="F37" s="45"/>
    </row>
    <row r="38" spans="1:6" ht="12.75" customHeight="1" x14ac:dyDescent="0.2">
      <c r="A38" s="45"/>
      <c r="B38" s="45"/>
      <c r="F38" s="45"/>
    </row>
    <row r="39" spans="1:6" ht="12.75" customHeight="1" x14ac:dyDescent="0.2">
      <c r="A39" s="45"/>
      <c r="B39" s="45"/>
      <c r="F39" s="45"/>
    </row>
    <row r="40" spans="1:6" ht="12.75" customHeight="1" x14ac:dyDescent="0.2">
      <c r="A40" s="45"/>
      <c r="B40" s="45"/>
      <c r="F40" s="45"/>
    </row>
    <row r="41" spans="1:6" ht="12.75" customHeight="1" x14ac:dyDescent="0.2">
      <c r="A41" s="45"/>
      <c r="B41" s="45"/>
      <c r="F41" s="45"/>
    </row>
    <row r="42" spans="1:6" ht="12.75" customHeight="1" x14ac:dyDescent="0.2">
      <c r="A42" s="45"/>
      <c r="B42" s="45"/>
      <c r="F42" s="45"/>
    </row>
    <row r="43" spans="1:6" ht="12.75" customHeight="1" x14ac:dyDescent="0.2">
      <c r="A43" s="45"/>
      <c r="B43" s="45"/>
      <c r="F43" s="45"/>
    </row>
    <row r="44" spans="1:6" ht="12.75" customHeight="1" x14ac:dyDescent="0.2">
      <c r="A44" s="45"/>
      <c r="B44" s="45"/>
      <c r="F44" s="45"/>
    </row>
    <row r="45" spans="1:6" ht="12.75" customHeight="1" x14ac:dyDescent="0.2">
      <c r="A45" s="45"/>
      <c r="B45" s="45"/>
      <c r="F45" s="45"/>
    </row>
    <row r="46" spans="1:6" ht="12.75" customHeight="1" x14ac:dyDescent="0.2">
      <c r="A46" s="45"/>
      <c r="B46" s="45"/>
      <c r="F46" s="45"/>
    </row>
    <row r="47" spans="1:6" ht="12.75" customHeight="1" x14ac:dyDescent="0.2">
      <c r="A47" s="45"/>
      <c r="B47" s="45"/>
      <c r="F47" s="45"/>
    </row>
    <row r="48" spans="1:6" ht="12.75" customHeight="1" x14ac:dyDescent="0.2">
      <c r="A48" s="45"/>
      <c r="B48" s="45"/>
      <c r="F48" s="45"/>
    </row>
    <row r="49" spans="1:6" ht="12.75" customHeight="1" x14ac:dyDescent="0.2">
      <c r="A49" s="45"/>
      <c r="B49" s="45"/>
      <c r="F49" s="45"/>
    </row>
    <row r="50" spans="1:6" ht="12.75" customHeight="1" x14ac:dyDescent="0.2">
      <c r="A50" s="45"/>
      <c r="B50" s="45"/>
      <c r="F50" s="45"/>
    </row>
    <row r="51" spans="1:6" ht="12.75" customHeight="1" x14ac:dyDescent="0.2">
      <c r="A51" s="45"/>
      <c r="B51" s="45"/>
      <c r="F51" s="45"/>
    </row>
    <row r="52" spans="1:6" ht="12.75" customHeight="1" x14ac:dyDescent="0.2">
      <c r="A52" s="45"/>
      <c r="B52" s="45"/>
      <c r="F52" s="45"/>
    </row>
    <row r="53" spans="1:6" ht="12.75" customHeight="1" x14ac:dyDescent="0.2">
      <c r="A53" s="45"/>
      <c r="B53" s="45"/>
      <c r="F53" s="45"/>
    </row>
    <row r="54" spans="1:6" ht="12.75" customHeight="1" x14ac:dyDescent="0.2">
      <c r="A54" s="45"/>
      <c r="B54" s="45"/>
      <c r="F54" s="45"/>
    </row>
    <row r="55" spans="1:6" ht="12.75" customHeight="1" x14ac:dyDescent="0.2">
      <c r="A55" s="45"/>
      <c r="B55" s="45"/>
      <c r="F55" s="45"/>
    </row>
    <row r="56" spans="1:6" ht="12.75" customHeight="1" x14ac:dyDescent="0.2">
      <c r="A56" s="45"/>
      <c r="B56" s="45"/>
      <c r="F56" s="45"/>
    </row>
    <row r="57" spans="1:6" ht="12.75" customHeight="1" x14ac:dyDescent="0.2">
      <c r="A57" s="45"/>
      <c r="B57" s="45"/>
      <c r="F57" s="45"/>
    </row>
    <row r="58" spans="1:6" ht="12.75" customHeight="1" x14ac:dyDescent="0.2">
      <c r="A58" s="45"/>
      <c r="B58" s="45"/>
      <c r="F58" s="45"/>
    </row>
    <row r="59" spans="1:6" ht="12.75" customHeight="1" x14ac:dyDescent="0.2">
      <c r="A59" s="45"/>
      <c r="B59" s="45"/>
      <c r="F59" s="45"/>
    </row>
    <row r="60" spans="1:6" ht="12.75" customHeight="1" x14ac:dyDescent="0.2">
      <c r="A60" s="45"/>
      <c r="B60" s="45"/>
      <c r="F60" s="45"/>
    </row>
    <row r="61" spans="1:6" ht="12.75" customHeight="1" x14ac:dyDescent="0.2">
      <c r="A61" s="45"/>
      <c r="B61" s="45"/>
      <c r="F61" s="45"/>
    </row>
    <row r="62" spans="1:6" ht="12.75" customHeight="1" x14ac:dyDescent="0.2">
      <c r="A62" s="45"/>
      <c r="B62" s="45"/>
      <c r="F62" s="45"/>
    </row>
    <row r="63" spans="1:6" ht="12.75" customHeight="1" x14ac:dyDescent="0.2">
      <c r="A63" s="45"/>
      <c r="B63" s="45"/>
      <c r="F63" s="45"/>
    </row>
    <row r="64" spans="1:6" ht="12.75" customHeight="1" x14ac:dyDescent="0.2">
      <c r="A64" s="45"/>
      <c r="B64" s="45"/>
      <c r="F64" s="45"/>
    </row>
    <row r="65" spans="1:6" ht="12.75" customHeight="1" x14ac:dyDescent="0.2">
      <c r="A65" s="45"/>
      <c r="B65" s="45"/>
      <c r="F65" s="45"/>
    </row>
    <row r="66" spans="1:6" ht="12.75" customHeight="1" x14ac:dyDescent="0.2">
      <c r="A66" s="45"/>
      <c r="B66" s="45"/>
      <c r="F66" s="45"/>
    </row>
    <row r="67" spans="1:6" ht="12.75" customHeight="1" x14ac:dyDescent="0.2">
      <c r="A67" s="45"/>
      <c r="B67" s="45"/>
      <c r="F67" s="45"/>
    </row>
    <row r="68" spans="1:6" ht="12.75" customHeight="1" x14ac:dyDescent="0.2">
      <c r="A68" s="45"/>
      <c r="B68" s="45"/>
      <c r="F68" s="45"/>
    </row>
    <row r="69" spans="1:6" ht="12.75" customHeight="1" x14ac:dyDescent="0.2">
      <c r="A69" s="45"/>
      <c r="B69" s="45"/>
      <c r="F69" s="45"/>
    </row>
    <row r="70" spans="1:6" ht="12.75" customHeight="1" x14ac:dyDescent="0.2">
      <c r="A70" s="45"/>
      <c r="B70" s="45"/>
      <c r="F70" s="45"/>
    </row>
    <row r="71" spans="1:6" ht="12.75" customHeight="1" x14ac:dyDescent="0.2">
      <c r="A71" s="45"/>
      <c r="B71" s="45"/>
      <c r="F71" s="45"/>
    </row>
    <row r="72" spans="1:6" ht="12.75" customHeight="1" x14ac:dyDescent="0.2">
      <c r="A72" s="45"/>
      <c r="B72" s="45"/>
      <c r="F72" s="45"/>
    </row>
    <row r="73" spans="1:6" ht="12.75" customHeight="1" x14ac:dyDescent="0.2">
      <c r="A73" s="45"/>
      <c r="B73" s="45"/>
      <c r="F73" s="45"/>
    </row>
    <row r="74" spans="1:6" ht="12.75" customHeight="1" x14ac:dyDescent="0.2">
      <c r="A74" s="45"/>
      <c r="B74" s="45"/>
      <c r="F74" s="45"/>
    </row>
    <row r="75" spans="1:6" ht="12.75" customHeight="1" x14ac:dyDescent="0.2">
      <c r="A75" s="45"/>
      <c r="B75" s="45"/>
      <c r="F75" s="45"/>
    </row>
    <row r="76" spans="1:6" ht="12.75" customHeight="1" x14ac:dyDescent="0.2">
      <c r="A76" s="45"/>
      <c r="B76" s="45"/>
      <c r="F76" s="45"/>
    </row>
    <row r="77" spans="1:6" ht="12.75" customHeight="1" x14ac:dyDescent="0.2">
      <c r="A77" s="45"/>
      <c r="B77" s="45"/>
      <c r="F77" s="45"/>
    </row>
    <row r="78" spans="1:6" ht="12.75" customHeight="1" x14ac:dyDescent="0.2">
      <c r="A78" s="45"/>
      <c r="B78" s="45"/>
      <c r="F78" s="45"/>
    </row>
    <row r="79" spans="1:6" ht="12.75" customHeight="1" x14ac:dyDescent="0.2">
      <c r="A79" s="45"/>
      <c r="B79" s="45"/>
      <c r="F79" s="45"/>
    </row>
    <row r="80" spans="1:6" ht="12.75" customHeight="1" x14ac:dyDescent="0.2">
      <c r="A80" s="45"/>
      <c r="B80" s="45"/>
      <c r="F80" s="45"/>
    </row>
    <row r="81" spans="1:6" ht="12.75" customHeight="1" x14ac:dyDescent="0.2">
      <c r="A81" s="45"/>
      <c r="B81" s="45"/>
      <c r="F81" s="45"/>
    </row>
    <row r="82" spans="1:6" ht="12.75" customHeight="1" x14ac:dyDescent="0.2">
      <c r="A82" s="45"/>
      <c r="B82" s="45"/>
      <c r="F82" s="45"/>
    </row>
    <row r="83" spans="1:6" ht="12.75" customHeight="1" x14ac:dyDescent="0.2">
      <c r="A83" s="45"/>
      <c r="B83" s="45"/>
      <c r="F83" s="45"/>
    </row>
    <row r="84" spans="1:6" ht="12.75" customHeight="1" x14ac:dyDescent="0.2">
      <c r="A84" s="45"/>
      <c r="B84" s="45"/>
      <c r="F84" s="45"/>
    </row>
    <row r="85" spans="1:6" ht="12.75" customHeight="1" x14ac:dyDescent="0.2">
      <c r="A85" s="45"/>
      <c r="B85" s="45"/>
      <c r="F85" s="45"/>
    </row>
    <row r="86" spans="1:6" ht="12.75" customHeight="1" x14ac:dyDescent="0.2">
      <c r="A86" s="45"/>
      <c r="B86" s="45"/>
      <c r="F86" s="45"/>
    </row>
    <row r="87" spans="1:6" ht="12.75" customHeight="1" x14ac:dyDescent="0.2">
      <c r="A87" s="45"/>
      <c r="B87" s="45"/>
      <c r="F87" s="45"/>
    </row>
    <row r="88" spans="1:6" ht="12.75" customHeight="1" x14ac:dyDescent="0.2">
      <c r="A88" s="45"/>
      <c r="B88" s="45"/>
      <c r="F88" s="45"/>
    </row>
    <row r="89" spans="1:6" ht="12.75" customHeight="1" x14ac:dyDescent="0.2">
      <c r="A89" s="45"/>
      <c r="B89" s="45"/>
      <c r="F89" s="45"/>
    </row>
    <row r="90" spans="1:6" ht="12.75" customHeight="1" x14ac:dyDescent="0.2">
      <c r="A90" s="45"/>
      <c r="B90" s="45"/>
      <c r="F90" s="45"/>
    </row>
    <row r="91" spans="1:6" ht="12.75" customHeight="1" x14ac:dyDescent="0.2">
      <c r="A91" s="45"/>
      <c r="B91" s="45"/>
      <c r="F91" s="45"/>
    </row>
    <row r="92" spans="1:6" ht="12.75" customHeight="1" x14ac:dyDescent="0.2">
      <c r="A92" s="45"/>
      <c r="B92" s="45"/>
      <c r="F92" s="45"/>
    </row>
    <row r="93" spans="1:6" ht="12.75" customHeight="1" x14ac:dyDescent="0.2">
      <c r="A93" s="45"/>
      <c r="B93" s="45"/>
      <c r="F93" s="45"/>
    </row>
    <row r="94" spans="1:6" ht="12.75" customHeight="1" x14ac:dyDescent="0.2">
      <c r="A94" s="45"/>
      <c r="B94" s="45"/>
      <c r="F94" s="45"/>
    </row>
    <row r="95" spans="1:6" ht="12.75" customHeight="1" x14ac:dyDescent="0.2">
      <c r="A95" s="45"/>
      <c r="B95" s="45"/>
      <c r="F95" s="45"/>
    </row>
    <row r="96" spans="1:6" ht="12.75" customHeight="1" x14ac:dyDescent="0.2">
      <c r="A96" s="45"/>
      <c r="B96" s="45"/>
      <c r="F96" s="45"/>
    </row>
    <row r="97" spans="1:6" ht="12.75" customHeight="1" x14ac:dyDescent="0.2">
      <c r="A97" s="45"/>
      <c r="B97" s="45"/>
      <c r="F97" s="45"/>
    </row>
    <row r="98" spans="1:6" ht="12.75" customHeight="1" x14ac:dyDescent="0.2">
      <c r="A98" s="45"/>
      <c r="B98" s="45"/>
      <c r="F98" s="45"/>
    </row>
    <row r="99" spans="1:6" ht="12.75" customHeight="1" x14ac:dyDescent="0.2">
      <c r="A99" s="45"/>
      <c r="B99" s="45"/>
      <c r="F99" s="45"/>
    </row>
    <row r="100" spans="1:6" ht="12.75" customHeight="1" x14ac:dyDescent="0.2">
      <c r="A100" s="45"/>
      <c r="B100" s="45"/>
      <c r="F100" s="45"/>
    </row>
    <row r="101" spans="1:6" ht="12.75" customHeight="1" x14ac:dyDescent="0.2">
      <c r="A101" s="45"/>
      <c r="B101" s="45"/>
      <c r="F101" s="45"/>
    </row>
    <row r="102" spans="1:6" ht="12.75" customHeight="1" x14ac:dyDescent="0.2">
      <c r="A102" s="45"/>
      <c r="B102" s="45"/>
      <c r="F102" s="45"/>
    </row>
    <row r="103" spans="1:6" ht="12.75" customHeight="1" x14ac:dyDescent="0.2">
      <c r="A103" s="45"/>
      <c r="B103" s="45"/>
      <c r="F103" s="45"/>
    </row>
    <row r="104" spans="1:6" ht="12.75" customHeight="1" x14ac:dyDescent="0.2">
      <c r="A104" s="45"/>
      <c r="B104" s="45"/>
      <c r="F104" s="45"/>
    </row>
    <row r="105" spans="1:6" ht="12.75" customHeight="1" x14ac:dyDescent="0.2">
      <c r="A105" s="45"/>
      <c r="B105" s="45"/>
      <c r="F105" s="45"/>
    </row>
    <row r="106" spans="1:6" ht="12.75" customHeight="1" x14ac:dyDescent="0.2">
      <c r="A106" s="45"/>
      <c r="B106" s="45"/>
      <c r="F106" s="45"/>
    </row>
    <row r="107" spans="1:6" ht="12.75" customHeight="1" x14ac:dyDescent="0.2">
      <c r="A107" s="45"/>
      <c r="B107" s="45"/>
      <c r="F107" s="45"/>
    </row>
    <row r="108" spans="1:6" ht="12.75" customHeight="1" x14ac:dyDescent="0.2">
      <c r="A108" s="45"/>
      <c r="B108" s="45"/>
      <c r="F108" s="45"/>
    </row>
    <row r="109" spans="1:6" ht="12.75" customHeight="1" x14ac:dyDescent="0.2">
      <c r="A109" s="45"/>
      <c r="B109" s="45"/>
      <c r="F109" s="45"/>
    </row>
    <row r="110" spans="1:6" ht="12.75" customHeight="1" x14ac:dyDescent="0.2">
      <c r="A110" s="45"/>
      <c r="B110" s="45"/>
      <c r="F110" s="45"/>
    </row>
    <row r="111" spans="1:6" ht="12.75" customHeight="1" x14ac:dyDescent="0.2">
      <c r="A111" s="45"/>
      <c r="B111" s="45"/>
      <c r="F111" s="45"/>
    </row>
    <row r="112" spans="1:6" ht="12.75" customHeight="1" x14ac:dyDescent="0.2">
      <c r="A112" s="45"/>
      <c r="B112" s="45"/>
      <c r="F112" s="45"/>
    </row>
    <row r="113" spans="1:6" ht="12.75" customHeight="1" x14ac:dyDescent="0.2">
      <c r="A113" s="45"/>
      <c r="B113" s="45"/>
      <c r="F113" s="45"/>
    </row>
    <row r="114" spans="1:6" ht="12.75" customHeight="1" x14ac:dyDescent="0.2">
      <c r="A114" s="45"/>
      <c r="B114" s="45"/>
      <c r="F114" s="45"/>
    </row>
    <row r="115" spans="1:6" ht="12.75" customHeight="1" x14ac:dyDescent="0.2">
      <c r="A115" s="45"/>
      <c r="B115" s="45"/>
      <c r="F115" s="45"/>
    </row>
    <row r="116" spans="1:6" ht="12.75" customHeight="1" x14ac:dyDescent="0.2">
      <c r="A116" s="45"/>
      <c r="B116" s="45"/>
      <c r="F116" s="45"/>
    </row>
    <row r="117" spans="1:6" ht="12.75" customHeight="1" x14ac:dyDescent="0.2">
      <c r="A117" s="45"/>
      <c r="B117" s="45"/>
      <c r="F117" s="45"/>
    </row>
    <row r="118" spans="1:6" ht="12.75" customHeight="1" x14ac:dyDescent="0.2">
      <c r="A118" s="45"/>
      <c r="B118" s="45"/>
      <c r="F118" s="45"/>
    </row>
    <row r="119" spans="1:6" ht="12.75" customHeight="1" x14ac:dyDescent="0.2">
      <c r="A119" s="45"/>
      <c r="B119" s="45"/>
      <c r="F119" s="45"/>
    </row>
    <row r="120" spans="1:6" ht="12.75" customHeight="1" x14ac:dyDescent="0.2">
      <c r="A120" s="45"/>
      <c r="B120" s="45"/>
      <c r="F120" s="45"/>
    </row>
    <row r="121" spans="1:6" ht="12.75" customHeight="1" x14ac:dyDescent="0.2">
      <c r="A121" s="45"/>
      <c r="B121" s="45"/>
      <c r="F121" s="45"/>
    </row>
    <row r="122" spans="1:6" ht="12.75" customHeight="1" x14ac:dyDescent="0.2">
      <c r="A122" s="45"/>
      <c r="B122" s="45"/>
      <c r="F122" s="45"/>
    </row>
    <row r="123" spans="1:6" ht="12.75" customHeight="1" x14ac:dyDescent="0.2">
      <c r="A123" s="45"/>
      <c r="B123" s="45"/>
      <c r="F123" s="45"/>
    </row>
    <row r="124" spans="1:6" ht="12.75" customHeight="1" x14ac:dyDescent="0.2">
      <c r="A124" s="45"/>
      <c r="B124" s="45"/>
      <c r="F124" s="45"/>
    </row>
    <row r="125" spans="1:6" ht="12.75" customHeight="1" x14ac:dyDescent="0.2">
      <c r="A125" s="45"/>
      <c r="B125" s="45"/>
      <c r="F125" s="45"/>
    </row>
    <row r="126" spans="1:6" ht="12.75" customHeight="1" x14ac:dyDescent="0.2">
      <c r="A126" s="45"/>
      <c r="B126" s="45"/>
      <c r="F126" s="45"/>
    </row>
    <row r="127" spans="1:6" ht="12.75" customHeight="1" x14ac:dyDescent="0.2">
      <c r="A127" s="45"/>
      <c r="B127" s="45"/>
      <c r="F127" s="45"/>
    </row>
    <row r="128" spans="1:6" ht="12.75" customHeight="1" x14ac:dyDescent="0.2">
      <c r="A128" s="45"/>
      <c r="B128" s="45"/>
      <c r="F128" s="45"/>
    </row>
    <row r="129" spans="1:6" ht="12.75" customHeight="1" x14ac:dyDescent="0.2">
      <c r="A129" s="45"/>
      <c r="B129" s="45"/>
      <c r="F129" s="45"/>
    </row>
    <row r="130" spans="1:6" ht="12.75" customHeight="1" x14ac:dyDescent="0.2">
      <c r="A130" s="45"/>
      <c r="B130" s="45"/>
      <c r="F130" s="45"/>
    </row>
    <row r="131" spans="1:6" ht="12.75" customHeight="1" x14ac:dyDescent="0.2">
      <c r="A131" s="45"/>
      <c r="B131" s="45"/>
      <c r="F131" s="45"/>
    </row>
    <row r="132" spans="1:6" ht="12.75" customHeight="1" x14ac:dyDescent="0.2">
      <c r="A132" s="45"/>
      <c r="B132" s="45"/>
      <c r="F132" s="45"/>
    </row>
    <row r="133" spans="1:6" ht="12.75" customHeight="1" x14ac:dyDescent="0.2">
      <c r="A133" s="45"/>
      <c r="B133" s="45"/>
      <c r="F133" s="45"/>
    </row>
    <row r="134" spans="1:6" ht="12.75" customHeight="1" x14ac:dyDescent="0.2">
      <c r="A134" s="45"/>
      <c r="B134" s="45"/>
      <c r="F134" s="45"/>
    </row>
    <row r="135" spans="1:6" ht="12.75" customHeight="1" x14ac:dyDescent="0.2">
      <c r="A135" s="45"/>
      <c r="B135" s="45"/>
      <c r="F135" s="45"/>
    </row>
    <row r="136" spans="1:6" ht="12.75" customHeight="1" x14ac:dyDescent="0.2">
      <c r="A136" s="45"/>
      <c r="B136" s="45"/>
      <c r="F136" s="45"/>
    </row>
    <row r="137" spans="1:6" ht="12.75" customHeight="1" x14ac:dyDescent="0.2">
      <c r="A137" s="45"/>
      <c r="B137" s="45"/>
      <c r="F137" s="45"/>
    </row>
    <row r="138" spans="1:6" ht="12.75" customHeight="1" x14ac:dyDescent="0.2">
      <c r="A138" s="45"/>
      <c r="B138" s="45"/>
      <c r="F138" s="45"/>
    </row>
    <row r="139" spans="1:6" ht="12.75" customHeight="1" x14ac:dyDescent="0.2">
      <c r="A139" s="45"/>
      <c r="B139" s="45"/>
      <c r="F139" s="45"/>
    </row>
    <row r="140" spans="1:6" ht="12.75" customHeight="1" x14ac:dyDescent="0.2">
      <c r="A140" s="45"/>
      <c r="B140" s="45"/>
      <c r="F140" s="45"/>
    </row>
    <row r="141" spans="1:6" ht="12.75" customHeight="1" x14ac:dyDescent="0.2">
      <c r="A141" s="45"/>
      <c r="B141" s="45"/>
      <c r="F141" s="45"/>
    </row>
    <row r="142" spans="1:6" ht="12.75" customHeight="1" x14ac:dyDescent="0.2">
      <c r="A142" s="45"/>
      <c r="B142" s="45"/>
      <c r="F142" s="45"/>
    </row>
    <row r="143" spans="1:6" ht="12.75" customHeight="1" x14ac:dyDescent="0.2">
      <c r="A143" s="45"/>
      <c r="B143" s="45"/>
      <c r="F143" s="45"/>
    </row>
    <row r="144" spans="1:6" ht="12.75" customHeight="1" x14ac:dyDescent="0.2">
      <c r="A144" s="45"/>
      <c r="B144" s="45"/>
      <c r="F144" s="45"/>
    </row>
    <row r="145" spans="1:6" ht="12.75" customHeight="1" x14ac:dyDescent="0.2">
      <c r="A145" s="45"/>
      <c r="B145" s="45"/>
      <c r="F145" s="45"/>
    </row>
    <row r="146" spans="1:6" ht="12.75" customHeight="1" x14ac:dyDescent="0.2">
      <c r="A146" s="45"/>
      <c r="B146" s="45"/>
      <c r="F146" s="45"/>
    </row>
    <row r="147" spans="1:6" ht="12.75" customHeight="1" x14ac:dyDescent="0.2">
      <c r="A147" s="45"/>
      <c r="B147" s="45"/>
      <c r="F147" s="45"/>
    </row>
    <row r="148" spans="1:6" ht="12.75" customHeight="1" x14ac:dyDescent="0.2">
      <c r="A148" s="45"/>
      <c r="B148" s="45"/>
      <c r="F148" s="45"/>
    </row>
    <row r="149" spans="1:6" ht="12.75" customHeight="1" x14ac:dyDescent="0.2">
      <c r="A149" s="45"/>
      <c r="B149" s="45"/>
      <c r="F149" s="45"/>
    </row>
    <row r="150" spans="1:6" ht="12.75" customHeight="1" x14ac:dyDescent="0.2">
      <c r="A150" s="45"/>
      <c r="B150" s="45"/>
      <c r="F150" s="45"/>
    </row>
    <row r="151" spans="1:6" ht="12.75" customHeight="1" x14ac:dyDescent="0.2">
      <c r="A151" s="45"/>
      <c r="B151" s="45"/>
      <c r="F151" s="45"/>
    </row>
    <row r="152" spans="1:6" ht="12.75" customHeight="1" x14ac:dyDescent="0.2">
      <c r="A152" s="45"/>
      <c r="B152" s="45"/>
      <c r="F152" s="45"/>
    </row>
    <row r="153" spans="1:6" ht="12.75" customHeight="1" x14ac:dyDescent="0.2">
      <c r="A153" s="45"/>
      <c r="B153" s="45"/>
      <c r="F153" s="45"/>
    </row>
    <row r="154" spans="1:6" ht="12.75" customHeight="1" x14ac:dyDescent="0.2">
      <c r="A154" s="45"/>
      <c r="B154" s="45"/>
      <c r="F154" s="45"/>
    </row>
    <row r="155" spans="1:6" ht="12.75" customHeight="1" x14ac:dyDescent="0.2">
      <c r="A155" s="45"/>
      <c r="B155" s="45"/>
      <c r="F155" s="45"/>
    </row>
    <row r="156" spans="1:6" ht="12.75" customHeight="1" x14ac:dyDescent="0.2">
      <c r="A156" s="45"/>
      <c r="B156" s="45"/>
      <c r="F156" s="45"/>
    </row>
    <row r="157" spans="1:6" ht="12.75" customHeight="1" x14ac:dyDescent="0.2">
      <c r="A157" s="45"/>
      <c r="B157" s="45"/>
      <c r="F157" s="45"/>
    </row>
    <row r="158" spans="1:6" ht="12.75" customHeight="1" x14ac:dyDescent="0.2">
      <c r="A158" s="45"/>
      <c r="B158" s="45"/>
      <c r="F158" s="45"/>
    </row>
    <row r="159" spans="1:6" ht="12.75" customHeight="1" x14ac:dyDescent="0.2">
      <c r="A159" s="45"/>
      <c r="B159" s="45"/>
      <c r="F159" s="45"/>
    </row>
    <row r="160" spans="1:6" ht="12.75" customHeight="1" x14ac:dyDescent="0.2">
      <c r="A160" s="45"/>
      <c r="B160" s="45"/>
      <c r="F160" s="45"/>
    </row>
    <row r="161" spans="1:6" ht="12.75" customHeight="1" x14ac:dyDescent="0.2">
      <c r="A161" s="45"/>
      <c r="B161" s="45"/>
      <c r="F161" s="45"/>
    </row>
    <row r="162" spans="1:6" ht="12.75" customHeight="1" x14ac:dyDescent="0.2">
      <c r="A162" s="45"/>
      <c r="B162" s="45"/>
      <c r="F162" s="45"/>
    </row>
    <row r="163" spans="1:6" ht="12.75" customHeight="1" x14ac:dyDescent="0.2">
      <c r="A163" s="45"/>
      <c r="B163" s="45"/>
      <c r="F163" s="45"/>
    </row>
    <row r="164" spans="1:6" ht="12.75" customHeight="1" x14ac:dyDescent="0.2">
      <c r="A164" s="45"/>
      <c r="B164" s="45"/>
      <c r="F164" s="45"/>
    </row>
    <row r="165" spans="1:6" ht="12.75" customHeight="1" x14ac:dyDescent="0.2">
      <c r="A165" s="45"/>
      <c r="B165" s="45"/>
      <c r="F165" s="45"/>
    </row>
    <row r="166" spans="1:6" ht="12.75" customHeight="1" x14ac:dyDescent="0.2">
      <c r="A166" s="45"/>
      <c r="B166" s="45"/>
      <c r="F166" s="45"/>
    </row>
    <row r="167" spans="1:6" ht="12.75" customHeight="1" x14ac:dyDescent="0.2">
      <c r="A167" s="45"/>
      <c r="B167" s="45"/>
      <c r="F167" s="45"/>
    </row>
    <row r="168" spans="1:6" ht="12.75" customHeight="1" x14ac:dyDescent="0.2">
      <c r="A168" s="45"/>
      <c r="B168" s="45"/>
      <c r="F168" s="45"/>
    </row>
    <row r="169" spans="1:6" ht="12.75" customHeight="1" x14ac:dyDescent="0.2">
      <c r="A169" s="45"/>
      <c r="B169" s="45"/>
      <c r="F169" s="45"/>
    </row>
    <row r="170" spans="1:6" ht="12.75" customHeight="1" x14ac:dyDescent="0.2">
      <c r="A170" s="45"/>
      <c r="B170" s="45"/>
      <c r="F170" s="45"/>
    </row>
    <row r="171" spans="1:6" ht="12.75" customHeight="1" x14ac:dyDescent="0.2">
      <c r="A171" s="45"/>
      <c r="B171" s="45"/>
      <c r="F171" s="45"/>
    </row>
    <row r="172" spans="1:6" ht="12.75" customHeight="1" x14ac:dyDescent="0.2">
      <c r="A172" s="45"/>
      <c r="B172" s="45"/>
      <c r="F172" s="45"/>
    </row>
    <row r="173" spans="1:6" ht="12.75" customHeight="1" x14ac:dyDescent="0.2">
      <c r="A173" s="45"/>
      <c r="B173" s="45"/>
      <c r="F173" s="45"/>
    </row>
    <row r="174" spans="1:6" ht="12.75" customHeight="1" x14ac:dyDescent="0.2">
      <c r="A174" s="45"/>
      <c r="B174" s="45"/>
      <c r="F174" s="45"/>
    </row>
    <row r="175" spans="1:6" ht="12.75" customHeight="1" x14ac:dyDescent="0.2">
      <c r="A175" s="45"/>
      <c r="B175" s="45"/>
      <c r="F175" s="45"/>
    </row>
    <row r="176" spans="1:6" ht="12.75" customHeight="1" x14ac:dyDescent="0.2">
      <c r="A176" s="45"/>
      <c r="B176" s="45"/>
      <c r="F176" s="45"/>
    </row>
    <row r="177" spans="1:6" ht="12.75" customHeight="1" x14ac:dyDescent="0.2">
      <c r="A177" s="45"/>
      <c r="B177" s="45"/>
      <c r="F177" s="45"/>
    </row>
    <row r="178" spans="1:6" ht="12.75" customHeight="1" x14ac:dyDescent="0.2">
      <c r="A178" s="45"/>
      <c r="B178" s="45"/>
      <c r="F178" s="45"/>
    </row>
    <row r="179" spans="1:6" ht="12.75" customHeight="1" x14ac:dyDescent="0.2">
      <c r="A179" s="45"/>
      <c r="B179" s="45"/>
      <c r="F179" s="45"/>
    </row>
    <row r="180" spans="1:6" ht="12.75" customHeight="1" x14ac:dyDescent="0.2">
      <c r="A180" s="45"/>
      <c r="B180" s="45"/>
      <c r="F180" s="45"/>
    </row>
    <row r="181" spans="1:6" ht="12.75" customHeight="1" x14ac:dyDescent="0.2">
      <c r="A181" s="45"/>
      <c r="B181" s="45"/>
      <c r="F181" s="45"/>
    </row>
    <row r="182" spans="1:6" ht="12.75" customHeight="1" x14ac:dyDescent="0.2">
      <c r="A182" s="45"/>
      <c r="B182" s="45"/>
      <c r="F182" s="45"/>
    </row>
    <row r="183" spans="1:6" ht="12.75" customHeight="1" x14ac:dyDescent="0.2">
      <c r="A183" s="45"/>
      <c r="B183" s="45"/>
      <c r="F183" s="45"/>
    </row>
    <row r="184" spans="1:6" ht="12.75" customHeight="1" x14ac:dyDescent="0.2">
      <c r="A184" s="45"/>
      <c r="B184" s="45"/>
      <c r="F184" s="45"/>
    </row>
    <row r="185" spans="1:6" ht="12.75" customHeight="1" x14ac:dyDescent="0.2">
      <c r="A185" s="45"/>
      <c r="B185" s="45"/>
      <c r="F185" s="45"/>
    </row>
    <row r="186" spans="1:6" ht="12.75" customHeight="1" x14ac:dyDescent="0.2">
      <c r="A186" s="45"/>
      <c r="B186" s="45"/>
      <c r="F186" s="45"/>
    </row>
    <row r="187" spans="1:6" ht="12.75" customHeight="1" x14ac:dyDescent="0.2">
      <c r="A187" s="45"/>
      <c r="B187" s="45"/>
      <c r="F187" s="45"/>
    </row>
    <row r="188" spans="1:6" ht="12.75" customHeight="1" x14ac:dyDescent="0.2">
      <c r="A188" s="45"/>
      <c r="B188" s="45"/>
      <c r="F188" s="45"/>
    </row>
    <row r="189" spans="1:6" ht="12.75" customHeight="1" x14ac:dyDescent="0.2">
      <c r="A189" s="45"/>
      <c r="B189" s="45"/>
      <c r="F189" s="45"/>
    </row>
    <row r="190" spans="1:6" ht="12.75" customHeight="1" x14ac:dyDescent="0.2">
      <c r="A190" s="45"/>
      <c r="B190" s="45"/>
      <c r="F190" s="45"/>
    </row>
    <row r="191" spans="1:6" ht="12.75" customHeight="1" x14ac:dyDescent="0.2">
      <c r="A191" s="45"/>
      <c r="B191" s="45"/>
      <c r="F191" s="45"/>
    </row>
    <row r="192" spans="1:6" ht="12.75" customHeight="1" x14ac:dyDescent="0.2">
      <c r="A192" s="45"/>
      <c r="B192" s="45"/>
      <c r="F192" s="45"/>
    </row>
    <row r="193" spans="1:6" ht="12.75" customHeight="1" x14ac:dyDescent="0.2">
      <c r="A193" s="45"/>
      <c r="B193" s="45"/>
      <c r="F193" s="45"/>
    </row>
    <row r="194" spans="1:6" ht="12.75" customHeight="1" x14ac:dyDescent="0.2">
      <c r="A194" s="45"/>
      <c r="B194" s="45"/>
      <c r="F194" s="45"/>
    </row>
    <row r="195" spans="1:6" ht="12.75" customHeight="1" x14ac:dyDescent="0.2">
      <c r="A195" s="45"/>
      <c r="B195" s="45"/>
      <c r="F195" s="45"/>
    </row>
    <row r="196" spans="1:6" ht="12.75" customHeight="1" x14ac:dyDescent="0.2">
      <c r="A196" s="45"/>
      <c r="B196" s="45"/>
      <c r="F196" s="45"/>
    </row>
    <row r="197" spans="1:6" ht="12.75" customHeight="1" x14ac:dyDescent="0.2">
      <c r="A197" s="45"/>
      <c r="B197" s="45"/>
      <c r="F197" s="45"/>
    </row>
    <row r="198" spans="1:6" ht="12.75" customHeight="1" x14ac:dyDescent="0.2">
      <c r="A198" s="45"/>
      <c r="B198" s="45"/>
      <c r="F198" s="45"/>
    </row>
    <row r="199" spans="1:6" ht="12.75" customHeight="1" x14ac:dyDescent="0.2">
      <c r="A199" s="45"/>
      <c r="B199" s="45"/>
      <c r="F199" s="45"/>
    </row>
    <row r="200" spans="1:6" ht="12.75" customHeight="1" x14ac:dyDescent="0.2">
      <c r="A200" s="45"/>
      <c r="B200" s="45"/>
      <c r="F200" s="45"/>
    </row>
    <row r="201" spans="1:6" ht="12.75" customHeight="1" x14ac:dyDescent="0.2">
      <c r="A201" s="45"/>
      <c r="B201" s="45"/>
      <c r="F201" s="45"/>
    </row>
    <row r="202" spans="1:6" ht="12.75" customHeight="1" x14ac:dyDescent="0.2">
      <c r="A202" s="45"/>
      <c r="B202" s="45"/>
      <c r="F202" s="45"/>
    </row>
    <row r="203" spans="1:6" ht="12.75" customHeight="1" x14ac:dyDescent="0.2">
      <c r="A203" s="45"/>
      <c r="B203" s="45"/>
      <c r="F203" s="45"/>
    </row>
    <row r="204" spans="1:6" ht="12.75" customHeight="1" x14ac:dyDescent="0.2">
      <c r="A204" s="45"/>
      <c r="B204" s="45"/>
      <c r="F204" s="45"/>
    </row>
    <row r="205" spans="1:6" ht="12.75" customHeight="1" x14ac:dyDescent="0.2">
      <c r="A205" s="45"/>
      <c r="B205" s="45"/>
      <c r="F205" s="45"/>
    </row>
    <row r="206" spans="1:6" ht="12.75" customHeight="1" x14ac:dyDescent="0.2">
      <c r="A206" s="45"/>
      <c r="B206" s="45"/>
      <c r="F206" s="45"/>
    </row>
    <row r="207" spans="1:6" ht="12.75" customHeight="1" x14ac:dyDescent="0.2">
      <c r="A207" s="45"/>
      <c r="B207" s="45"/>
      <c r="F207" s="45"/>
    </row>
    <row r="208" spans="1:6" ht="12.75" customHeight="1" x14ac:dyDescent="0.2">
      <c r="A208" s="45"/>
      <c r="B208" s="45"/>
      <c r="F208" s="45"/>
    </row>
    <row r="209" spans="1:6" ht="12.75" customHeight="1" x14ac:dyDescent="0.2">
      <c r="A209" s="45"/>
      <c r="B209" s="45"/>
      <c r="F209" s="45"/>
    </row>
    <row r="210" spans="1:6" ht="12.75" customHeight="1" x14ac:dyDescent="0.2">
      <c r="A210" s="45"/>
      <c r="B210" s="45"/>
      <c r="F210" s="45"/>
    </row>
    <row r="211" spans="1:6" ht="12.75" customHeight="1" x14ac:dyDescent="0.2">
      <c r="A211" s="45"/>
      <c r="B211" s="45"/>
      <c r="F211" s="45"/>
    </row>
    <row r="212" spans="1:6" ht="12.75" customHeight="1" x14ac:dyDescent="0.2">
      <c r="A212" s="45"/>
      <c r="B212" s="45"/>
      <c r="F212" s="45"/>
    </row>
    <row r="213" spans="1:6" ht="12.75" customHeight="1" x14ac:dyDescent="0.2">
      <c r="A213" s="45"/>
      <c r="B213" s="45"/>
      <c r="F213" s="45"/>
    </row>
    <row r="214" spans="1:6" ht="12.75" customHeight="1" x14ac:dyDescent="0.2">
      <c r="A214" s="45"/>
      <c r="B214" s="45"/>
      <c r="F214" s="45"/>
    </row>
    <row r="215" spans="1:6" ht="12.75" customHeight="1" x14ac:dyDescent="0.2">
      <c r="A215" s="45"/>
      <c r="B215" s="45"/>
      <c r="F215" s="45"/>
    </row>
    <row r="216" spans="1:6" ht="12.75" customHeight="1" x14ac:dyDescent="0.2">
      <c r="A216" s="45"/>
      <c r="B216" s="45"/>
      <c r="F216" s="45"/>
    </row>
    <row r="217" spans="1:6" ht="12.75" customHeight="1" x14ac:dyDescent="0.2">
      <c r="A217" s="45"/>
      <c r="B217" s="45"/>
      <c r="F217" s="45"/>
    </row>
    <row r="218" spans="1:6" ht="12.75" customHeight="1" x14ac:dyDescent="0.2">
      <c r="A218" s="45"/>
      <c r="B218" s="45"/>
      <c r="F218" s="45"/>
    </row>
    <row r="219" spans="1:6" ht="12.75" customHeight="1" x14ac:dyDescent="0.2">
      <c r="A219" s="45"/>
      <c r="B219" s="45"/>
      <c r="F219" s="45"/>
    </row>
    <row r="220" spans="1:6" ht="12.75" customHeight="1" x14ac:dyDescent="0.2">
      <c r="A220" s="45"/>
      <c r="B220" s="45"/>
      <c r="F220" s="45"/>
    </row>
    <row r="221" spans="1:6" ht="12.75" customHeight="1" x14ac:dyDescent="0.2">
      <c r="A221" s="45"/>
      <c r="B221" s="45"/>
      <c r="F221" s="45"/>
    </row>
    <row r="222" spans="1:6" ht="12.75" customHeight="1" x14ac:dyDescent="0.2">
      <c r="A222" s="45"/>
      <c r="B222" s="45"/>
      <c r="F222" s="45"/>
    </row>
    <row r="223" spans="1:6" ht="12.75" customHeight="1" x14ac:dyDescent="0.2">
      <c r="A223" s="45"/>
      <c r="B223" s="45"/>
      <c r="F223" s="45"/>
    </row>
    <row r="224" spans="1:6" ht="12.75" customHeight="1" x14ac:dyDescent="0.2">
      <c r="A224" s="45"/>
      <c r="B224" s="45"/>
      <c r="F224" s="45"/>
    </row>
    <row r="225" spans="1:6" ht="12.75" customHeight="1" x14ac:dyDescent="0.2">
      <c r="A225" s="45"/>
      <c r="B225" s="45"/>
      <c r="F225" s="45"/>
    </row>
    <row r="226" spans="1:6" ht="12.75" customHeight="1" x14ac:dyDescent="0.2">
      <c r="A226" s="45"/>
      <c r="B226" s="45"/>
      <c r="F226" s="45"/>
    </row>
    <row r="227" spans="1:6" ht="12.75" customHeight="1" x14ac:dyDescent="0.2">
      <c r="A227" s="45"/>
      <c r="B227" s="45"/>
      <c r="F227" s="45"/>
    </row>
    <row r="228" spans="1:6" ht="12.75" customHeight="1" x14ac:dyDescent="0.2">
      <c r="A228" s="45"/>
      <c r="B228" s="45"/>
      <c r="F228" s="45"/>
    </row>
    <row r="229" spans="1:6" ht="12.75" customHeight="1" x14ac:dyDescent="0.2">
      <c r="A229" s="45"/>
      <c r="B229" s="45"/>
      <c r="F229" s="45"/>
    </row>
    <row r="230" spans="1:6" ht="12.75" customHeight="1" x14ac:dyDescent="0.2">
      <c r="A230" s="45"/>
      <c r="B230" s="45"/>
      <c r="F230" s="45"/>
    </row>
    <row r="231" spans="1:6" ht="12.75" customHeight="1" x14ac:dyDescent="0.2">
      <c r="A231" s="45"/>
      <c r="B231" s="45"/>
      <c r="F231" s="45"/>
    </row>
    <row r="232" spans="1:6" ht="12.75" customHeight="1" x14ac:dyDescent="0.2">
      <c r="A232" s="45"/>
      <c r="B232" s="45"/>
      <c r="F232" s="45"/>
    </row>
    <row r="233" spans="1:6" ht="12.75" customHeight="1" x14ac:dyDescent="0.2">
      <c r="A233" s="45"/>
      <c r="B233" s="45"/>
      <c r="F233" s="45"/>
    </row>
    <row r="234" spans="1:6" ht="12.75" customHeight="1" x14ac:dyDescent="0.2">
      <c r="A234" s="45"/>
      <c r="B234" s="45"/>
      <c r="F234" s="45"/>
    </row>
    <row r="235" spans="1:6" ht="12.75" customHeight="1" x14ac:dyDescent="0.2">
      <c r="A235" s="45"/>
      <c r="B235" s="45"/>
      <c r="F235" s="45"/>
    </row>
    <row r="236" spans="1:6" ht="12.75" customHeight="1" x14ac:dyDescent="0.2">
      <c r="A236" s="45"/>
      <c r="B236" s="45"/>
      <c r="F236" s="45"/>
    </row>
    <row r="237" spans="1:6" ht="12.75" customHeight="1" x14ac:dyDescent="0.2">
      <c r="A237" s="45"/>
      <c r="B237" s="45"/>
      <c r="F237" s="45"/>
    </row>
    <row r="238" spans="1:6" ht="12.75" customHeight="1" x14ac:dyDescent="0.2">
      <c r="A238" s="45"/>
      <c r="B238" s="45"/>
      <c r="F238" s="45"/>
    </row>
    <row r="239" spans="1:6" ht="12.75" customHeight="1" x14ac:dyDescent="0.2">
      <c r="A239" s="45"/>
      <c r="B239" s="45"/>
      <c r="F239" s="45"/>
    </row>
    <row r="240" spans="1:6" ht="12.75" customHeight="1" x14ac:dyDescent="0.2">
      <c r="A240" s="45"/>
      <c r="B240" s="45"/>
      <c r="F240" s="45"/>
    </row>
    <row r="241" spans="1:6" ht="12.75" customHeight="1" x14ac:dyDescent="0.2">
      <c r="A241" s="45"/>
      <c r="B241" s="45"/>
      <c r="F241" s="45"/>
    </row>
    <row r="242" spans="1:6" ht="12.75" customHeight="1" x14ac:dyDescent="0.2">
      <c r="A242" s="45"/>
      <c r="B242" s="45"/>
      <c r="F242" s="45"/>
    </row>
    <row r="243" spans="1:6" ht="12.75" customHeight="1" x14ac:dyDescent="0.2">
      <c r="A243" s="45"/>
      <c r="B243" s="45"/>
      <c r="F243" s="45"/>
    </row>
    <row r="244" spans="1:6" ht="12.75" customHeight="1" x14ac:dyDescent="0.2">
      <c r="A244" s="45"/>
      <c r="B244" s="45"/>
      <c r="F244" s="45"/>
    </row>
    <row r="245" spans="1:6" ht="12.75" customHeight="1" x14ac:dyDescent="0.2">
      <c r="A245" s="45"/>
      <c r="B245" s="45"/>
      <c r="F245" s="45"/>
    </row>
    <row r="246" spans="1:6" ht="12.75" customHeight="1" x14ac:dyDescent="0.2">
      <c r="A246" s="45"/>
      <c r="B246" s="45"/>
      <c r="F246" s="45"/>
    </row>
    <row r="247" spans="1:6" ht="12.75" customHeight="1" x14ac:dyDescent="0.2">
      <c r="A247" s="45"/>
      <c r="B247" s="45"/>
      <c r="F247" s="45"/>
    </row>
    <row r="248" spans="1:6" ht="12.75" customHeight="1" x14ac:dyDescent="0.2">
      <c r="A248" s="45"/>
      <c r="B248" s="45"/>
      <c r="F248" s="45"/>
    </row>
    <row r="249" spans="1:6" ht="12.75" customHeight="1" x14ac:dyDescent="0.2">
      <c r="A249" s="45"/>
      <c r="B249" s="45"/>
      <c r="F249" s="45"/>
    </row>
    <row r="250" spans="1:6" ht="12.75" customHeight="1" x14ac:dyDescent="0.2">
      <c r="A250" s="45"/>
      <c r="B250" s="45"/>
      <c r="F250" s="45"/>
    </row>
    <row r="251" spans="1:6" ht="12.75" customHeight="1" x14ac:dyDescent="0.2">
      <c r="A251" s="45"/>
      <c r="B251" s="45"/>
      <c r="F251" s="45"/>
    </row>
    <row r="252" spans="1:6" ht="12.75" customHeight="1" x14ac:dyDescent="0.2">
      <c r="A252" s="45"/>
      <c r="B252" s="45"/>
      <c r="F252" s="45"/>
    </row>
    <row r="253" spans="1:6" ht="12.75" customHeight="1" x14ac:dyDescent="0.2">
      <c r="A253" s="45"/>
      <c r="B253" s="45"/>
      <c r="F253" s="45"/>
    </row>
    <row r="254" spans="1:6" ht="12.75" customHeight="1" x14ac:dyDescent="0.2">
      <c r="A254" s="45"/>
      <c r="B254" s="45"/>
      <c r="F254" s="45"/>
    </row>
    <row r="255" spans="1:6" ht="12.75" customHeight="1" x14ac:dyDescent="0.2">
      <c r="A255" s="45"/>
      <c r="B255" s="45"/>
      <c r="F255" s="45"/>
    </row>
    <row r="256" spans="1:6" ht="12.75" customHeight="1" x14ac:dyDescent="0.2">
      <c r="A256" s="45"/>
      <c r="B256" s="45"/>
      <c r="F256" s="45"/>
    </row>
    <row r="257" spans="1:6" ht="12.75" customHeight="1" x14ac:dyDescent="0.2">
      <c r="A257" s="45"/>
      <c r="B257" s="45"/>
      <c r="F257" s="45"/>
    </row>
    <row r="258" spans="1:6" ht="12.75" customHeight="1" x14ac:dyDescent="0.2">
      <c r="A258" s="45"/>
      <c r="B258" s="45"/>
      <c r="F258" s="45"/>
    </row>
    <row r="259" spans="1:6" ht="12.75" customHeight="1" x14ac:dyDescent="0.2">
      <c r="A259" s="45"/>
      <c r="B259" s="45"/>
      <c r="F259" s="45"/>
    </row>
    <row r="260" spans="1:6" ht="12.75" customHeight="1" x14ac:dyDescent="0.2">
      <c r="A260" s="45"/>
      <c r="B260" s="45"/>
      <c r="F260" s="45"/>
    </row>
    <row r="261" spans="1:6" ht="12.75" customHeight="1" x14ac:dyDescent="0.2">
      <c r="A261" s="45"/>
      <c r="B261" s="45"/>
      <c r="F261" s="45"/>
    </row>
    <row r="262" spans="1:6" ht="12.75" customHeight="1" x14ac:dyDescent="0.2">
      <c r="A262" s="45"/>
      <c r="B262" s="45"/>
      <c r="F262" s="45"/>
    </row>
    <row r="263" spans="1:6" ht="12.75" customHeight="1" x14ac:dyDescent="0.2">
      <c r="A263" s="45"/>
      <c r="B263" s="45"/>
      <c r="F263" s="45"/>
    </row>
    <row r="264" spans="1:6" ht="12.75" customHeight="1" x14ac:dyDescent="0.2">
      <c r="A264" s="45"/>
      <c r="B264" s="45"/>
      <c r="F264" s="45"/>
    </row>
    <row r="265" spans="1:6" ht="12.75" customHeight="1" x14ac:dyDescent="0.2">
      <c r="A265" s="45"/>
      <c r="B265" s="45"/>
      <c r="F265" s="45"/>
    </row>
    <row r="266" spans="1:6" ht="12.75" customHeight="1" x14ac:dyDescent="0.2">
      <c r="A266" s="45"/>
      <c r="B266" s="45"/>
      <c r="F266" s="45"/>
    </row>
    <row r="267" spans="1:6" ht="12.75" customHeight="1" x14ac:dyDescent="0.2">
      <c r="A267" s="45"/>
      <c r="B267" s="45"/>
      <c r="F267" s="45"/>
    </row>
    <row r="268" spans="1:6" ht="12.75" customHeight="1" x14ac:dyDescent="0.2">
      <c r="A268" s="45"/>
      <c r="B268" s="45"/>
      <c r="F268" s="45"/>
    </row>
    <row r="269" spans="1:6" ht="12.75" customHeight="1" x14ac:dyDescent="0.2">
      <c r="A269" s="45"/>
      <c r="B269" s="45"/>
      <c r="F269" s="45"/>
    </row>
    <row r="270" spans="1:6" ht="12.75" customHeight="1" x14ac:dyDescent="0.2">
      <c r="A270" s="45"/>
      <c r="B270" s="45"/>
      <c r="F270" s="45"/>
    </row>
    <row r="271" spans="1:6" ht="12.75" customHeight="1" x14ac:dyDescent="0.2">
      <c r="A271" s="45"/>
      <c r="B271" s="45"/>
      <c r="F271" s="45"/>
    </row>
    <row r="272" spans="1:6" ht="12.75" customHeight="1" x14ac:dyDescent="0.2">
      <c r="A272" s="45"/>
      <c r="B272" s="45"/>
      <c r="F272" s="45"/>
    </row>
    <row r="273" spans="1:6" ht="12.75" customHeight="1" x14ac:dyDescent="0.2">
      <c r="A273" s="45"/>
      <c r="B273" s="45"/>
      <c r="F273" s="45"/>
    </row>
    <row r="274" spans="1:6" ht="12.75" customHeight="1" x14ac:dyDescent="0.2">
      <c r="A274" s="45"/>
      <c r="B274" s="45"/>
      <c r="F274" s="45"/>
    </row>
    <row r="275" spans="1:6" ht="12.75" customHeight="1" x14ac:dyDescent="0.2">
      <c r="A275" s="45"/>
      <c r="B275" s="45"/>
      <c r="F275" s="45"/>
    </row>
    <row r="276" spans="1:6" ht="12.75" customHeight="1" x14ac:dyDescent="0.2">
      <c r="A276" s="45"/>
      <c r="B276" s="45"/>
      <c r="F276" s="45"/>
    </row>
    <row r="277" spans="1:6" ht="12.75" customHeight="1" x14ac:dyDescent="0.2">
      <c r="A277" s="45"/>
      <c r="B277" s="45"/>
      <c r="F277" s="45"/>
    </row>
    <row r="278" spans="1:6" ht="12.75" customHeight="1" x14ac:dyDescent="0.2">
      <c r="A278" s="45"/>
      <c r="B278" s="45"/>
      <c r="F278" s="45"/>
    </row>
    <row r="279" spans="1:6" ht="12.75" customHeight="1" x14ac:dyDescent="0.2">
      <c r="A279" s="45"/>
      <c r="B279" s="45"/>
      <c r="F279" s="45"/>
    </row>
    <row r="280" spans="1:6" ht="12.75" customHeight="1" x14ac:dyDescent="0.2">
      <c r="A280" s="45"/>
      <c r="B280" s="45"/>
      <c r="F280" s="45"/>
    </row>
    <row r="281" spans="1:6" ht="12.75" customHeight="1" x14ac:dyDescent="0.2">
      <c r="A281" s="45"/>
      <c r="B281" s="45"/>
      <c r="F281" s="45"/>
    </row>
    <row r="282" spans="1:6" ht="12.75" customHeight="1" x14ac:dyDescent="0.2">
      <c r="A282" s="45"/>
      <c r="B282" s="45"/>
      <c r="F282" s="45"/>
    </row>
    <row r="283" spans="1:6" ht="12.75" customHeight="1" x14ac:dyDescent="0.2">
      <c r="A283" s="45"/>
      <c r="B283" s="45"/>
      <c r="F283" s="45"/>
    </row>
    <row r="284" spans="1:6" ht="12.75" customHeight="1" x14ac:dyDescent="0.2">
      <c r="A284" s="45"/>
      <c r="B284" s="45"/>
      <c r="F284" s="45"/>
    </row>
    <row r="285" spans="1:6" ht="12.75" customHeight="1" x14ac:dyDescent="0.2">
      <c r="A285" s="45"/>
      <c r="B285" s="45"/>
      <c r="F285" s="45"/>
    </row>
    <row r="286" spans="1:6" ht="12.75" customHeight="1" x14ac:dyDescent="0.2">
      <c r="A286" s="45"/>
      <c r="B286" s="45"/>
      <c r="F286" s="45"/>
    </row>
    <row r="287" spans="1:6" ht="12.75" customHeight="1" x14ac:dyDescent="0.2">
      <c r="A287" s="45"/>
      <c r="B287" s="45"/>
      <c r="F287" s="45"/>
    </row>
    <row r="288" spans="1:6" ht="12.75" customHeight="1" x14ac:dyDescent="0.2">
      <c r="A288" s="45"/>
      <c r="B288" s="45"/>
      <c r="F288" s="45"/>
    </row>
    <row r="289" spans="1:6" ht="12.75" customHeight="1" x14ac:dyDescent="0.2">
      <c r="A289" s="45"/>
      <c r="B289" s="45"/>
      <c r="F289" s="45"/>
    </row>
    <row r="290" spans="1:6" ht="12.75" customHeight="1" x14ac:dyDescent="0.2">
      <c r="A290" s="45"/>
      <c r="B290" s="45"/>
      <c r="F290" s="45"/>
    </row>
    <row r="291" spans="1:6" ht="12.75" customHeight="1" x14ac:dyDescent="0.2">
      <c r="A291" s="45"/>
      <c r="B291" s="45"/>
      <c r="F291" s="45"/>
    </row>
    <row r="292" spans="1:6" ht="12.75" customHeight="1" x14ac:dyDescent="0.2">
      <c r="A292" s="45"/>
      <c r="B292" s="45"/>
      <c r="F292" s="45"/>
    </row>
    <row r="293" spans="1:6" ht="12.75" customHeight="1" x14ac:dyDescent="0.2">
      <c r="A293" s="45"/>
      <c r="B293" s="45"/>
      <c r="F293" s="45"/>
    </row>
    <row r="294" spans="1:6" ht="12.75" customHeight="1" x14ac:dyDescent="0.2">
      <c r="A294" s="45"/>
      <c r="B294" s="45"/>
      <c r="F294" s="45"/>
    </row>
    <row r="295" spans="1:6" ht="12.75" customHeight="1" x14ac:dyDescent="0.2">
      <c r="A295" s="45"/>
      <c r="B295" s="45"/>
      <c r="F295" s="45"/>
    </row>
    <row r="296" spans="1:6" ht="12.75" customHeight="1" x14ac:dyDescent="0.2">
      <c r="A296" s="45"/>
      <c r="B296" s="45"/>
      <c r="F296" s="45"/>
    </row>
    <row r="297" spans="1:6" ht="12.75" customHeight="1" x14ac:dyDescent="0.2">
      <c r="A297" s="45"/>
      <c r="B297" s="45"/>
      <c r="F297" s="45"/>
    </row>
    <row r="298" spans="1:6" ht="12.75" customHeight="1" x14ac:dyDescent="0.2">
      <c r="A298" s="45"/>
      <c r="B298" s="45"/>
      <c r="F298" s="45"/>
    </row>
    <row r="299" spans="1:6" ht="12.75" customHeight="1" x14ac:dyDescent="0.2">
      <c r="A299" s="45"/>
      <c r="B299" s="45"/>
      <c r="F299" s="45"/>
    </row>
    <row r="300" spans="1:6" ht="12.75" customHeight="1" x14ac:dyDescent="0.2">
      <c r="A300" s="45"/>
      <c r="B300" s="45"/>
      <c r="F300" s="45"/>
    </row>
    <row r="301" spans="1:6" ht="12.75" customHeight="1" x14ac:dyDescent="0.2">
      <c r="A301" s="45"/>
      <c r="B301" s="45"/>
      <c r="F301" s="45"/>
    </row>
    <row r="302" spans="1:6" ht="12.75" customHeight="1" x14ac:dyDescent="0.2">
      <c r="A302" s="45"/>
      <c r="B302" s="45"/>
      <c r="F302" s="45"/>
    </row>
    <row r="303" spans="1:6" ht="12.75" customHeight="1" x14ac:dyDescent="0.2">
      <c r="A303" s="45"/>
      <c r="B303" s="45"/>
      <c r="F303" s="45"/>
    </row>
    <row r="304" spans="1:6" ht="12.75" customHeight="1" x14ac:dyDescent="0.2">
      <c r="A304" s="45"/>
      <c r="B304" s="45"/>
      <c r="F304" s="45"/>
    </row>
    <row r="305" spans="1:6" ht="12.75" customHeight="1" x14ac:dyDescent="0.2">
      <c r="A305" s="45"/>
      <c r="B305" s="45"/>
      <c r="F305" s="45"/>
    </row>
    <row r="306" spans="1:6" ht="12.75" customHeight="1" x14ac:dyDescent="0.2">
      <c r="A306" s="45"/>
      <c r="B306" s="45"/>
      <c r="F306" s="45"/>
    </row>
    <row r="307" spans="1:6" ht="12.75" customHeight="1" x14ac:dyDescent="0.2">
      <c r="A307" s="45"/>
      <c r="B307" s="45"/>
      <c r="F307" s="45"/>
    </row>
    <row r="308" spans="1:6" ht="12.75" customHeight="1" x14ac:dyDescent="0.2">
      <c r="A308" s="45"/>
      <c r="B308" s="45"/>
      <c r="F308" s="45"/>
    </row>
    <row r="309" spans="1:6" ht="12.75" customHeight="1" x14ac:dyDescent="0.2">
      <c r="A309" s="45"/>
      <c r="B309" s="45"/>
      <c r="F309" s="45"/>
    </row>
    <row r="310" spans="1:6" ht="12.75" customHeight="1" x14ac:dyDescent="0.2">
      <c r="A310" s="45"/>
      <c r="B310" s="45"/>
      <c r="F310" s="45"/>
    </row>
    <row r="311" spans="1:6" ht="12.75" customHeight="1" x14ac:dyDescent="0.2">
      <c r="A311" s="45"/>
      <c r="B311" s="45"/>
      <c r="F311" s="45"/>
    </row>
    <row r="312" spans="1:6" ht="12.75" customHeight="1" x14ac:dyDescent="0.2">
      <c r="A312" s="45"/>
      <c r="B312" s="45"/>
      <c r="F312" s="45"/>
    </row>
    <row r="313" spans="1:6" ht="12.75" customHeight="1" x14ac:dyDescent="0.2">
      <c r="A313" s="45"/>
      <c r="B313" s="45"/>
      <c r="F313" s="45"/>
    </row>
    <row r="314" spans="1:6" ht="12.75" customHeight="1" x14ac:dyDescent="0.2">
      <c r="A314" s="45"/>
      <c r="B314" s="45"/>
      <c r="F314" s="45"/>
    </row>
    <row r="315" spans="1:6" ht="12.75" customHeight="1" x14ac:dyDescent="0.2">
      <c r="A315" s="45"/>
      <c r="B315" s="45"/>
      <c r="F315" s="45"/>
    </row>
    <row r="316" spans="1:6" ht="12.75" customHeight="1" x14ac:dyDescent="0.2">
      <c r="A316" s="45"/>
      <c r="B316" s="45"/>
      <c r="F316" s="45"/>
    </row>
    <row r="317" spans="1:6" ht="12.75" customHeight="1" x14ac:dyDescent="0.2">
      <c r="A317" s="45"/>
      <c r="B317" s="45"/>
      <c r="F317" s="45"/>
    </row>
    <row r="318" spans="1:6" ht="12.75" customHeight="1" x14ac:dyDescent="0.2">
      <c r="A318" s="45"/>
      <c r="B318" s="45"/>
      <c r="F318" s="45"/>
    </row>
    <row r="319" spans="1:6" ht="12.75" customHeight="1" x14ac:dyDescent="0.2">
      <c r="A319" s="45"/>
      <c r="B319" s="45"/>
      <c r="F319" s="45"/>
    </row>
    <row r="320" spans="1:6" ht="12.75" customHeight="1" x14ac:dyDescent="0.2">
      <c r="A320" s="45"/>
      <c r="B320" s="45"/>
      <c r="F320" s="45"/>
    </row>
    <row r="321" spans="1:6" ht="12.75" customHeight="1" x14ac:dyDescent="0.2">
      <c r="A321" s="45"/>
      <c r="B321" s="45"/>
      <c r="F321" s="45"/>
    </row>
    <row r="322" spans="1:6" ht="12.75" customHeight="1" x14ac:dyDescent="0.2">
      <c r="A322" s="45"/>
      <c r="B322" s="45"/>
      <c r="F322" s="45"/>
    </row>
    <row r="323" spans="1:6" ht="12.75" customHeight="1" x14ac:dyDescent="0.2">
      <c r="A323" s="45"/>
      <c r="B323" s="45"/>
      <c r="F323" s="45"/>
    </row>
    <row r="324" spans="1:6" ht="12.75" customHeight="1" x14ac:dyDescent="0.2">
      <c r="A324" s="45"/>
      <c r="B324" s="45"/>
      <c r="F324" s="45"/>
    </row>
    <row r="325" spans="1:6" ht="12.75" customHeight="1" x14ac:dyDescent="0.2">
      <c r="A325" s="45"/>
      <c r="B325" s="45"/>
      <c r="F325" s="45"/>
    </row>
    <row r="326" spans="1:6" ht="12.75" customHeight="1" x14ac:dyDescent="0.2">
      <c r="A326" s="45"/>
      <c r="B326" s="45"/>
      <c r="F326" s="45"/>
    </row>
    <row r="327" spans="1:6" ht="12.75" customHeight="1" x14ac:dyDescent="0.2">
      <c r="A327" s="45"/>
      <c r="B327" s="45"/>
      <c r="F327" s="45"/>
    </row>
    <row r="328" spans="1:6" ht="12.75" customHeight="1" x14ac:dyDescent="0.2">
      <c r="A328" s="45"/>
      <c r="B328" s="45"/>
      <c r="F328" s="45"/>
    </row>
    <row r="329" spans="1:6" ht="12.75" customHeight="1" x14ac:dyDescent="0.2">
      <c r="A329" s="45"/>
      <c r="B329" s="45"/>
      <c r="F329" s="45"/>
    </row>
    <row r="330" spans="1:6" ht="12.75" customHeight="1" x14ac:dyDescent="0.2">
      <c r="A330" s="45"/>
      <c r="B330" s="45"/>
      <c r="F330" s="45"/>
    </row>
    <row r="331" spans="1:6" ht="12.75" customHeight="1" x14ac:dyDescent="0.2">
      <c r="A331" s="45"/>
      <c r="B331" s="45"/>
      <c r="F331" s="45"/>
    </row>
    <row r="332" spans="1:6" ht="12.75" customHeight="1" x14ac:dyDescent="0.2">
      <c r="A332" s="45"/>
      <c r="B332" s="45"/>
      <c r="F332" s="45"/>
    </row>
    <row r="333" spans="1:6" ht="12.75" customHeight="1" x14ac:dyDescent="0.2">
      <c r="A333" s="45"/>
      <c r="B333" s="45"/>
      <c r="F333" s="45"/>
    </row>
    <row r="334" spans="1:6" ht="12.75" customHeight="1" x14ac:dyDescent="0.2">
      <c r="A334" s="45"/>
      <c r="B334" s="45"/>
      <c r="F334" s="45"/>
    </row>
    <row r="335" spans="1:6" ht="12.75" customHeight="1" x14ac:dyDescent="0.2">
      <c r="A335" s="45"/>
      <c r="B335" s="45"/>
      <c r="F335" s="45"/>
    </row>
    <row r="336" spans="1:6" ht="12.75" customHeight="1" x14ac:dyDescent="0.2">
      <c r="A336" s="45"/>
      <c r="B336" s="45"/>
      <c r="F336" s="45"/>
    </row>
    <row r="337" spans="1:6" ht="12.75" customHeight="1" x14ac:dyDescent="0.2">
      <c r="A337" s="45"/>
      <c r="B337" s="45"/>
      <c r="F337" s="45"/>
    </row>
    <row r="338" spans="1:6" ht="12.75" customHeight="1" x14ac:dyDescent="0.2">
      <c r="A338" s="45"/>
      <c r="B338" s="45"/>
      <c r="F338" s="45"/>
    </row>
    <row r="339" spans="1:6" ht="12.75" customHeight="1" x14ac:dyDescent="0.2">
      <c r="A339" s="45"/>
      <c r="B339" s="45"/>
      <c r="F339" s="45"/>
    </row>
    <row r="340" spans="1:6" ht="12.75" customHeight="1" x14ac:dyDescent="0.2">
      <c r="A340" s="45"/>
      <c r="B340" s="45"/>
      <c r="F340" s="45"/>
    </row>
    <row r="341" spans="1:6" ht="12.75" customHeight="1" x14ac:dyDescent="0.2">
      <c r="A341" s="45"/>
      <c r="B341" s="45"/>
      <c r="F341" s="45"/>
    </row>
    <row r="342" spans="1:6" ht="12.75" customHeight="1" x14ac:dyDescent="0.2">
      <c r="A342" s="45"/>
      <c r="B342" s="45"/>
      <c r="F342" s="45"/>
    </row>
    <row r="343" spans="1:6" ht="12.75" customHeight="1" x14ac:dyDescent="0.2">
      <c r="A343" s="45"/>
      <c r="B343" s="45"/>
      <c r="F343" s="45"/>
    </row>
    <row r="344" spans="1:6" ht="12.75" customHeight="1" x14ac:dyDescent="0.2">
      <c r="A344" s="45"/>
      <c r="B344" s="45"/>
      <c r="F344" s="45"/>
    </row>
    <row r="345" spans="1:6" ht="12.75" customHeight="1" x14ac:dyDescent="0.2">
      <c r="A345" s="45"/>
      <c r="B345" s="45"/>
      <c r="F345" s="45"/>
    </row>
    <row r="346" spans="1:6" ht="12.75" customHeight="1" x14ac:dyDescent="0.2">
      <c r="A346" s="45"/>
      <c r="B346" s="45"/>
      <c r="F346" s="45"/>
    </row>
    <row r="347" spans="1:6" ht="12.75" customHeight="1" x14ac:dyDescent="0.2">
      <c r="A347" s="45"/>
      <c r="B347" s="45"/>
      <c r="F347" s="45"/>
    </row>
    <row r="348" spans="1:6" ht="12.75" customHeight="1" x14ac:dyDescent="0.2">
      <c r="A348" s="45"/>
      <c r="B348" s="45"/>
      <c r="F348" s="45"/>
    </row>
    <row r="349" spans="1:6" ht="12.75" customHeight="1" x14ac:dyDescent="0.2">
      <c r="A349" s="45"/>
      <c r="B349" s="45"/>
      <c r="F349" s="45"/>
    </row>
    <row r="350" spans="1:6" ht="12.75" customHeight="1" x14ac:dyDescent="0.2">
      <c r="A350" s="45"/>
      <c r="B350" s="45"/>
      <c r="F350" s="45"/>
    </row>
    <row r="351" spans="1:6" ht="12.75" customHeight="1" x14ac:dyDescent="0.2">
      <c r="A351" s="45"/>
      <c r="B351" s="45"/>
      <c r="F351" s="45"/>
    </row>
    <row r="352" spans="1:6" ht="12.75" customHeight="1" x14ac:dyDescent="0.2">
      <c r="A352" s="45"/>
      <c r="B352" s="45"/>
      <c r="F352" s="45"/>
    </row>
    <row r="353" spans="1:6" ht="12.75" customHeight="1" x14ac:dyDescent="0.2">
      <c r="A353" s="45"/>
      <c r="B353" s="45"/>
      <c r="F353" s="45"/>
    </row>
    <row r="354" spans="1:6" ht="12.75" customHeight="1" x14ac:dyDescent="0.2">
      <c r="A354" s="45"/>
      <c r="B354" s="45"/>
      <c r="F354" s="45"/>
    </row>
    <row r="355" spans="1:6" ht="12.75" customHeight="1" x14ac:dyDescent="0.2">
      <c r="A355" s="45"/>
      <c r="B355" s="45"/>
      <c r="F355" s="45"/>
    </row>
    <row r="356" spans="1:6" ht="12.75" customHeight="1" x14ac:dyDescent="0.2">
      <c r="A356" s="45"/>
      <c r="B356" s="45"/>
      <c r="F356" s="45"/>
    </row>
    <row r="357" spans="1:6" ht="12.75" customHeight="1" x14ac:dyDescent="0.2">
      <c r="A357" s="45"/>
      <c r="B357" s="45"/>
      <c r="F357" s="45"/>
    </row>
    <row r="358" spans="1:6" ht="12.75" customHeight="1" x14ac:dyDescent="0.2">
      <c r="A358" s="45"/>
      <c r="B358" s="45"/>
      <c r="F358" s="45"/>
    </row>
    <row r="359" spans="1:6" ht="12.75" customHeight="1" x14ac:dyDescent="0.2">
      <c r="A359" s="45"/>
      <c r="B359" s="45"/>
      <c r="F359" s="45"/>
    </row>
    <row r="360" spans="1:6" ht="12.75" customHeight="1" x14ac:dyDescent="0.2">
      <c r="A360" s="45"/>
      <c r="B360" s="45"/>
      <c r="F360" s="45"/>
    </row>
    <row r="361" spans="1:6" ht="12.75" customHeight="1" x14ac:dyDescent="0.2">
      <c r="A361" s="45"/>
      <c r="B361" s="45"/>
      <c r="F361" s="45"/>
    </row>
    <row r="362" spans="1:6" ht="12.75" customHeight="1" x14ac:dyDescent="0.2">
      <c r="A362" s="45"/>
      <c r="B362" s="45"/>
      <c r="F362" s="45"/>
    </row>
    <row r="363" spans="1:6" ht="12.75" customHeight="1" x14ac:dyDescent="0.2">
      <c r="A363" s="45"/>
      <c r="B363" s="45"/>
      <c r="F363" s="45"/>
    </row>
    <row r="364" spans="1:6" ht="12.75" customHeight="1" x14ac:dyDescent="0.2">
      <c r="A364" s="45"/>
      <c r="B364" s="45"/>
      <c r="F364" s="45"/>
    </row>
    <row r="365" spans="1:6" ht="12.75" customHeight="1" x14ac:dyDescent="0.2">
      <c r="A365" s="45"/>
      <c r="B365" s="45"/>
      <c r="F365" s="45"/>
    </row>
    <row r="366" spans="1:6" ht="12.75" customHeight="1" x14ac:dyDescent="0.2">
      <c r="A366" s="45"/>
      <c r="B366" s="45"/>
      <c r="F366" s="45"/>
    </row>
    <row r="367" spans="1:6" ht="12.75" customHeight="1" x14ac:dyDescent="0.2">
      <c r="A367" s="45"/>
      <c r="B367" s="45"/>
      <c r="F367" s="45"/>
    </row>
    <row r="368" spans="1:6" ht="12.75" customHeight="1" x14ac:dyDescent="0.2">
      <c r="A368" s="45"/>
      <c r="B368" s="45"/>
      <c r="F368" s="45"/>
    </row>
    <row r="369" spans="1:6" ht="12.75" customHeight="1" x14ac:dyDescent="0.2">
      <c r="A369" s="45"/>
      <c r="B369" s="45"/>
      <c r="F369" s="45"/>
    </row>
    <row r="370" spans="1:6" ht="12.75" customHeight="1" x14ac:dyDescent="0.2">
      <c r="A370" s="45"/>
      <c r="B370" s="45"/>
      <c r="F370" s="45"/>
    </row>
    <row r="371" spans="1:6" ht="12.75" customHeight="1" x14ac:dyDescent="0.2">
      <c r="A371" s="45"/>
      <c r="B371" s="45"/>
      <c r="F371" s="45"/>
    </row>
    <row r="372" spans="1:6" ht="12.75" customHeight="1" x14ac:dyDescent="0.2">
      <c r="A372" s="45"/>
      <c r="B372" s="45"/>
      <c r="F372" s="45"/>
    </row>
    <row r="373" spans="1:6" ht="12.75" customHeight="1" x14ac:dyDescent="0.2">
      <c r="A373" s="45"/>
      <c r="B373" s="45"/>
      <c r="F373" s="45"/>
    </row>
    <row r="374" spans="1:6" ht="12.75" customHeight="1" x14ac:dyDescent="0.2">
      <c r="A374" s="45"/>
      <c r="B374" s="45"/>
      <c r="F374" s="45"/>
    </row>
    <row r="375" spans="1:6" ht="12.75" customHeight="1" x14ac:dyDescent="0.2">
      <c r="A375" s="45"/>
      <c r="B375" s="45"/>
      <c r="F375" s="45"/>
    </row>
    <row r="376" spans="1:6" ht="12.75" customHeight="1" x14ac:dyDescent="0.2">
      <c r="A376" s="45"/>
      <c r="B376" s="45"/>
      <c r="F376" s="45"/>
    </row>
    <row r="377" spans="1:6" ht="12.75" customHeight="1" x14ac:dyDescent="0.2">
      <c r="A377" s="45"/>
      <c r="B377" s="45"/>
      <c r="F377" s="45"/>
    </row>
    <row r="378" spans="1:6" ht="12.75" customHeight="1" x14ac:dyDescent="0.2">
      <c r="A378" s="45"/>
      <c r="B378" s="45"/>
      <c r="F378" s="45"/>
    </row>
    <row r="379" spans="1:6" ht="12.75" customHeight="1" x14ac:dyDescent="0.2">
      <c r="A379" s="45"/>
      <c r="B379" s="45"/>
      <c r="F379" s="45"/>
    </row>
    <row r="380" spans="1:6" ht="12.75" customHeight="1" x14ac:dyDescent="0.2">
      <c r="A380" s="45"/>
      <c r="B380" s="45"/>
      <c r="F380" s="45"/>
    </row>
    <row r="381" spans="1:6" ht="12.75" customHeight="1" x14ac:dyDescent="0.2">
      <c r="A381" s="45"/>
      <c r="B381" s="45"/>
      <c r="F381" s="45"/>
    </row>
    <row r="382" spans="1:6" ht="12.75" customHeight="1" x14ac:dyDescent="0.2">
      <c r="A382" s="45"/>
      <c r="B382" s="45"/>
      <c r="F382" s="45"/>
    </row>
    <row r="383" spans="1:6" ht="12.75" customHeight="1" x14ac:dyDescent="0.2">
      <c r="A383" s="45"/>
      <c r="B383" s="45"/>
      <c r="F383" s="45"/>
    </row>
    <row r="384" spans="1:6" ht="12.75" customHeight="1" x14ac:dyDescent="0.2">
      <c r="A384" s="45"/>
      <c r="B384" s="45"/>
      <c r="F384" s="45"/>
    </row>
    <row r="385" spans="1:6" ht="12.75" customHeight="1" x14ac:dyDescent="0.2">
      <c r="A385" s="45"/>
      <c r="B385" s="45"/>
      <c r="F385" s="45"/>
    </row>
    <row r="386" spans="1:6" ht="12.75" customHeight="1" x14ac:dyDescent="0.2">
      <c r="A386" s="45"/>
      <c r="B386" s="45"/>
      <c r="F386" s="45"/>
    </row>
    <row r="387" spans="1:6" ht="12.75" customHeight="1" x14ac:dyDescent="0.2">
      <c r="A387" s="45"/>
      <c r="B387" s="45"/>
      <c r="F387" s="45"/>
    </row>
    <row r="388" spans="1:6" ht="12.75" customHeight="1" x14ac:dyDescent="0.2">
      <c r="A388" s="45"/>
      <c r="B388" s="45"/>
      <c r="F388" s="45"/>
    </row>
    <row r="389" spans="1:6" ht="12.75" customHeight="1" x14ac:dyDescent="0.2">
      <c r="A389" s="45"/>
      <c r="B389" s="45"/>
      <c r="F389" s="45"/>
    </row>
    <row r="390" spans="1:6" ht="12.75" customHeight="1" x14ac:dyDescent="0.2">
      <c r="A390" s="45"/>
      <c r="B390" s="45"/>
      <c r="F390" s="45"/>
    </row>
    <row r="391" spans="1:6" ht="12.75" customHeight="1" x14ac:dyDescent="0.2">
      <c r="A391" s="45"/>
      <c r="B391" s="45"/>
      <c r="F391" s="45"/>
    </row>
    <row r="392" spans="1:6" ht="12.75" customHeight="1" x14ac:dyDescent="0.2">
      <c r="A392" s="45"/>
      <c r="B392" s="45"/>
      <c r="F392" s="45"/>
    </row>
    <row r="393" spans="1:6" ht="12.75" customHeight="1" x14ac:dyDescent="0.2">
      <c r="A393" s="45"/>
      <c r="B393" s="45"/>
      <c r="F393" s="45"/>
    </row>
    <row r="394" spans="1:6" ht="12.75" customHeight="1" x14ac:dyDescent="0.2">
      <c r="A394" s="45"/>
      <c r="B394" s="45"/>
      <c r="F394" s="45"/>
    </row>
    <row r="395" spans="1:6" ht="12.75" customHeight="1" x14ac:dyDescent="0.2">
      <c r="A395" s="45"/>
      <c r="B395" s="45"/>
      <c r="F395" s="45"/>
    </row>
    <row r="396" spans="1:6" ht="12.75" customHeight="1" x14ac:dyDescent="0.2">
      <c r="A396" s="45"/>
      <c r="B396" s="45"/>
      <c r="F396" s="45"/>
    </row>
    <row r="397" spans="1:6" ht="12.75" customHeight="1" x14ac:dyDescent="0.2">
      <c r="A397" s="45"/>
      <c r="B397" s="45"/>
      <c r="F397" s="45"/>
    </row>
    <row r="398" spans="1:6" ht="12.75" customHeight="1" x14ac:dyDescent="0.2">
      <c r="A398" s="45"/>
      <c r="B398" s="45"/>
      <c r="F398" s="45"/>
    </row>
    <row r="399" spans="1:6" ht="12.75" customHeight="1" x14ac:dyDescent="0.2">
      <c r="A399" s="45"/>
      <c r="B399" s="45"/>
      <c r="F399" s="45"/>
    </row>
    <row r="400" spans="1:6" ht="12.75" customHeight="1" x14ac:dyDescent="0.2">
      <c r="A400" s="45"/>
      <c r="B400" s="45"/>
      <c r="F400" s="45"/>
    </row>
    <row r="401" spans="1:6" ht="12.75" customHeight="1" x14ac:dyDescent="0.2">
      <c r="A401" s="45"/>
      <c r="B401" s="45"/>
      <c r="F401" s="45"/>
    </row>
    <row r="402" spans="1:6" ht="12.75" customHeight="1" x14ac:dyDescent="0.2">
      <c r="A402" s="45"/>
      <c r="B402" s="45"/>
      <c r="F402" s="45"/>
    </row>
    <row r="403" spans="1:6" ht="12.75" customHeight="1" x14ac:dyDescent="0.2">
      <c r="A403" s="45"/>
      <c r="B403" s="45"/>
      <c r="F403" s="45"/>
    </row>
    <row r="404" spans="1:6" ht="12.75" customHeight="1" x14ac:dyDescent="0.2">
      <c r="A404" s="45"/>
      <c r="B404" s="45"/>
      <c r="F404" s="45"/>
    </row>
    <row r="405" spans="1:6" ht="12.75" customHeight="1" x14ac:dyDescent="0.2">
      <c r="A405" s="45"/>
      <c r="B405" s="45"/>
      <c r="F405" s="45"/>
    </row>
    <row r="406" spans="1:6" ht="12.75" customHeight="1" x14ac:dyDescent="0.2">
      <c r="A406" s="45"/>
      <c r="B406" s="45"/>
      <c r="F406" s="45"/>
    </row>
    <row r="407" spans="1:6" ht="12.75" customHeight="1" x14ac:dyDescent="0.2">
      <c r="A407" s="45"/>
      <c r="B407" s="45"/>
      <c r="F407" s="45"/>
    </row>
    <row r="408" spans="1:6" ht="12.75" customHeight="1" x14ac:dyDescent="0.2">
      <c r="A408" s="45"/>
      <c r="B408" s="45"/>
      <c r="F408" s="45"/>
    </row>
    <row r="409" spans="1:6" ht="12.75" customHeight="1" x14ac:dyDescent="0.2">
      <c r="A409" s="45"/>
      <c r="B409" s="45"/>
      <c r="F409" s="45"/>
    </row>
    <row r="410" spans="1:6" ht="12.75" customHeight="1" x14ac:dyDescent="0.2">
      <c r="A410" s="45"/>
      <c r="B410" s="45"/>
      <c r="F410" s="45"/>
    </row>
    <row r="411" spans="1:6" ht="12.75" customHeight="1" x14ac:dyDescent="0.2">
      <c r="A411" s="45"/>
      <c r="B411" s="45"/>
      <c r="F411" s="45"/>
    </row>
    <row r="412" spans="1:6" ht="12.75" customHeight="1" x14ac:dyDescent="0.2">
      <c r="A412" s="45"/>
      <c r="B412" s="45"/>
      <c r="F412" s="45"/>
    </row>
    <row r="413" spans="1:6" ht="12.75" customHeight="1" x14ac:dyDescent="0.2">
      <c r="A413" s="45"/>
      <c r="B413" s="45"/>
      <c r="F413" s="45"/>
    </row>
    <row r="414" spans="1:6" ht="12.75" customHeight="1" x14ac:dyDescent="0.2">
      <c r="A414" s="45"/>
      <c r="B414" s="45"/>
      <c r="F414" s="45"/>
    </row>
    <row r="415" spans="1:6" ht="12.75" customHeight="1" x14ac:dyDescent="0.2">
      <c r="A415" s="45"/>
      <c r="B415" s="45"/>
      <c r="F415" s="45"/>
    </row>
    <row r="416" spans="1:6" ht="12.75" customHeight="1" x14ac:dyDescent="0.2">
      <c r="A416" s="45"/>
      <c r="B416" s="45"/>
      <c r="F416" s="45"/>
    </row>
    <row r="417" spans="1:6" ht="12.75" customHeight="1" x14ac:dyDescent="0.2">
      <c r="A417" s="45"/>
      <c r="B417" s="45"/>
      <c r="F417" s="45"/>
    </row>
    <row r="418" spans="1:6" ht="12.75" customHeight="1" x14ac:dyDescent="0.2">
      <c r="A418" s="45"/>
      <c r="B418" s="45"/>
      <c r="F418" s="45"/>
    </row>
    <row r="419" spans="1:6" ht="12.75" customHeight="1" x14ac:dyDescent="0.2">
      <c r="A419" s="45"/>
      <c r="B419" s="45"/>
      <c r="F419" s="45"/>
    </row>
    <row r="420" spans="1:6" ht="12.75" customHeight="1" x14ac:dyDescent="0.2">
      <c r="A420" s="45"/>
      <c r="B420" s="45"/>
      <c r="F420" s="45"/>
    </row>
    <row r="421" spans="1:6" ht="12.75" customHeight="1" x14ac:dyDescent="0.2">
      <c r="A421" s="45"/>
      <c r="B421" s="45"/>
      <c r="F421" s="45"/>
    </row>
    <row r="422" spans="1:6" ht="12.75" customHeight="1" x14ac:dyDescent="0.2">
      <c r="A422" s="45"/>
      <c r="B422" s="45"/>
      <c r="F422" s="45"/>
    </row>
    <row r="423" spans="1:6" ht="12.75" customHeight="1" x14ac:dyDescent="0.2">
      <c r="A423" s="45"/>
      <c r="B423" s="45"/>
      <c r="F423" s="45"/>
    </row>
    <row r="424" spans="1:6" ht="12.75" customHeight="1" x14ac:dyDescent="0.2">
      <c r="A424" s="45"/>
      <c r="B424" s="45"/>
      <c r="F424" s="45"/>
    </row>
    <row r="425" spans="1:6" ht="12.75" customHeight="1" x14ac:dyDescent="0.2">
      <c r="A425" s="45"/>
      <c r="B425" s="45"/>
      <c r="F425" s="45"/>
    </row>
    <row r="426" spans="1:6" ht="12.75" customHeight="1" x14ac:dyDescent="0.2">
      <c r="A426" s="45"/>
      <c r="B426" s="45"/>
      <c r="F426" s="45"/>
    </row>
    <row r="427" spans="1:6" ht="12.75" customHeight="1" x14ac:dyDescent="0.2">
      <c r="A427" s="45"/>
      <c r="B427" s="45"/>
      <c r="F427" s="45"/>
    </row>
    <row r="428" spans="1:6" ht="12.75" customHeight="1" x14ac:dyDescent="0.2">
      <c r="A428" s="45"/>
      <c r="B428" s="45"/>
      <c r="F428" s="45"/>
    </row>
    <row r="429" spans="1:6" ht="12.75" customHeight="1" x14ac:dyDescent="0.2">
      <c r="A429" s="45"/>
      <c r="B429" s="45"/>
      <c r="F429" s="45"/>
    </row>
    <row r="430" spans="1:6" ht="12.75" customHeight="1" x14ac:dyDescent="0.2">
      <c r="A430" s="45"/>
      <c r="B430" s="45"/>
      <c r="F430" s="45"/>
    </row>
    <row r="431" spans="1:6" ht="12.75" customHeight="1" x14ac:dyDescent="0.2">
      <c r="A431" s="45"/>
      <c r="B431" s="45"/>
      <c r="F431" s="45"/>
    </row>
    <row r="432" spans="1:6" ht="12.75" customHeight="1" x14ac:dyDescent="0.2">
      <c r="A432" s="45"/>
      <c r="B432" s="45"/>
      <c r="F432" s="45"/>
    </row>
    <row r="433" spans="1:6" ht="12.75" customHeight="1" x14ac:dyDescent="0.2">
      <c r="A433" s="45"/>
      <c r="B433" s="45"/>
      <c r="F433" s="45"/>
    </row>
    <row r="434" spans="1:6" ht="12.75" customHeight="1" x14ac:dyDescent="0.2">
      <c r="A434" s="45"/>
      <c r="B434" s="45"/>
      <c r="F434" s="45"/>
    </row>
    <row r="435" spans="1:6" ht="12.75" customHeight="1" x14ac:dyDescent="0.2">
      <c r="A435" s="45"/>
      <c r="B435" s="45"/>
      <c r="F435" s="45"/>
    </row>
    <row r="436" spans="1:6" ht="12.75" customHeight="1" x14ac:dyDescent="0.2">
      <c r="A436" s="45"/>
      <c r="B436" s="45"/>
      <c r="F436" s="45"/>
    </row>
    <row r="437" spans="1:6" ht="12.75" customHeight="1" x14ac:dyDescent="0.2">
      <c r="A437" s="45"/>
      <c r="B437" s="45"/>
      <c r="F437" s="45"/>
    </row>
    <row r="438" spans="1:6" ht="12.75" customHeight="1" x14ac:dyDescent="0.2">
      <c r="A438" s="45"/>
      <c r="B438" s="45"/>
      <c r="F438" s="45"/>
    </row>
    <row r="439" spans="1:6" ht="12.75" customHeight="1" x14ac:dyDescent="0.2">
      <c r="A439" s="45"/>
      <c r="B439" s="45"/>
      <c r="F439" s="45"/>
    </row>
    <row r="440" spans="1:6" ht="12.75" customHeight="1" x14ac:dyDescent="0.2">
      <c r="A440" s="45"/>
      <c r="B440" s="45"/>
      <c r="F440" s="45"/>
    </row>
    <row r="441" spans="1:6" ht="12.75" customHeight="1" x14ac:dyDescent="0.2">
      <c r="A441" s="45"/>
      <c r="B441" s="45"/>
      <c r="F441" s="45"/>
    </row>
    <row r="442" spans="1:6" ht="12.75" customHeight="1" x14ac:dyDescent="0.2">
      <c r="A442" s="45"/>
      <c r="B442" s="45"/>
      <c r="F442" s="45"/>
    </row>
    <row r="443" spans="1:6" ht="12.75" customHeight="1" x14ac:dyDescent="0.2">
      <c r="A443" s="45"/>
      <c r="B443" s="45"/>
      <c r="F443" s="45"/>
    </row>
    <row r="444" spans="1:6" ht="12.75" customHeight="1" x14ac:dyDescent="0.2">
      <c r="A444" s="45"/>
      <c r="B444" s="45"/>
      <c r="F444" s="45"/>
    </row>
    <row r="445" spans="1:6" ht="12.75" customHeight="1" x14ac:dyDescent="0.2">
      <c r="A445" s="45"/>
      <c r="B445" s="45"/>
      <c r="F445" s="45"/>
    </row>
    <row r="446" spans="1:6" ht="12.75" customHeight="1" x14ac:dyDescent="0.2">
      <c r="A446" s="45"/>
      <c r="B446" s="45"/>
      <c r="F446" s="45"/>
    </row>
    <row r="447" spans="1:6" ht="12.75" customHeight="1" x14ac:dyDescent="0.2">
      <c r="A447" s="45"/>
      <c r="B447" s="45"/>
      <c r="F447" s="45"/>
    </row>
    <row r="448" spans="1:6" ht="12.75" customHeight="1" x14ac:dyDescent="0.2">
      <c r="A448" s="45"/>
      <c r="B448" s="45"/>
      <c r="F448" s="45"/>
    </row>
    <row r="449" spans="1:6" ht="12.75" customHeight="1" x14ac:dyDescent="0.2">
      <c r="A449" s="45"/>
      <c r="B449" s="45"/>
      <c r="F449" s="45"/>
    </row>
    <row r="450" spans="1:6" ht="12.75" customHeight="1" x14ac:dyDescent="0.2">
      <c r="A450" s="45"/>
      <c r="B450" s="45"/>
      <c r="F450" s="45"/>
    </row>
    <row r="451" spans="1:6" ht="12.75" customHeight="1" x14ac:dyDescent="0.2">
      <c r="A451" s="45"/>
      <c r="B451" s="45"/>
      <c r="F451" s="45"/>
    </row>
    <row r="452" spans="1:6" ht="12.75" customHeight="1" x14ac:dyDescent="0.2">
      <c r="A452" s="45"/>
      <c r="B452" s="45"/>
      <c r="F452" s="45"/>
    </row>
    <row r="453" spans="1:6" ht="12.75" customHeight="1" x14ac:dyDescent="0.2">
      <c r="A453" s="45"/>
      <c r="B453" s="45"/>
      <c r="F453" s="45"/>
    </row>
    <row r="454" spans="1:6" ht="12.75" customHeight="1" x14ac:dyDescent="0.2">
      <c r="A454" s="45"/>
      <c r="B454" s="45"/>
      <c r="F454" s="45"/>
    </row>
    <row r="455" spans="1:6" ht="12.75" customHeight="1" x14ac:dyDescent="0.2">
      <c r="A455" s="45"/>
      <c r="B455" s="45"/>
      <c r="F455" s="45"/>
    </row>
    <row r="456" spans="1:6" ht="12.75" customHeight="1" x14ac:dyDescent="0.2">
      <c r="A456" s="45"/>
      <c r="B456" s="45"/>
      <c r="F456" s="45"/>
    </row>
    <row r="457" spans="1:6" ht="12.75" customHeight="1" x14ac:dyDescent="0.2">
      <c r="A457" s="45"/>
      <c r="B457" s="45"/>
      <c r="F457" s="45"/>
    </row>
    <row r="458" spans="1:6" ht="12.75" customHeight="1" x14ac:dyDescent="0.2">
      <c r="A458" s="45"/>
      <c r="B458" s="45"/>
      <c r="F458" s="45"/>
    </row>
    <row r="459" spans="1:6" ht="12.75" customHeight="1" x14ac:dyDescent="0.2">
      <c r="A459" s="45"/>
      <c r="B459" s="45"/>
      <c r="F459" s="45"/>
    </row>
    <row r="460" spans="1:6" ht="12.75" customHeight="1" x14ac:dyDescent="0.2">
      <c r="A460" s="45"/>
      <c r="B460" s="45"/>
      <c r="F460" s="45"/>
    </row>
    <row r="461" spans="1:6" ht="12.75" customHeight="1" x14ac:dyDescent="0.2">
      <c r="A461" s="45"/>
      <c r="B461" s="45"/>
      <c r="F461" s="45"/>
    </row>
    <row r="462" spans="1:6" ht="12.75" customHeight="1" x14ac:dyDescent="0.2">
      <c r="A462" s="45"/>
      <c r="B462" s="45"/>
      <c r="F462" s="45"/>
    </row>
    <row r="463" spans="1:6" ht="12.75" customHeight="1" x14ac:dyDescent="0.2">
      <c r="A463" s="45"/>
      <c r="B463" s="45"/>
      <c r="F463" s="45"/>
    </row>
    <row r="464" spans="1:6" ht="12.75" customHeight="1" x14ac:dyDescent="0.2">
      <c r="A464" s="45"/>
      <c r="B464" s="45"/>
      <c r="F464" s="45"/>
    </row>
    <row r="465" spans="1:6" ht="12.75" customHeight="1" x14ac:dyDescent="0.2">
      <c r="A465" s="45"/>
      <c r="B465" s="45"/>
      <c r="F465" s="45"/>
    </row>
    <row r="466" spans="1:6" ht="12.75" customHeight="1" x14ac:dyDescent="0.2">
      <c r="A466" s="45"/>
      <c r="B466" s="45"/>
      <c r="F466" s="45"/>
    </row>
    <row r="467" spans="1:6" ht="12.75" customHeight="1" x14ac:dyDescent="0.2">
      <c r="A467" s="45"/>
      <c r="B467" s="45"/>
      <c r="F467" s="45"/>
    </row>
    <row r="468" spans="1:6" ht="12.75" customHeight="1" x14ac:dyDescent="0.2">
      <c r="A468" s="45"/>
      <c r="B468" s="45"/>
      <c r="F468" s="45"/>
    </row>
    <row r="469" spans="1:6" ht="12.75" customHeight="1" x14ac:dyDescent="0.2">
      <c r="A469" s="45"/>
      <c r="B469" s="45"/>
      <c r="F469" s="45"/>
    </row>
    <row r="470" spans="1:6" ht="12.75" customHeight="1" x14ac:dyDescent="0.2">
      <c r="A470" s="45"/>
      <c r="B470" s="45"/>
      <c r="F470" s="45"/>
    </row>
    <row r="471" spans="1:6" ht="12.75" customHeight="1" x14ac:dyDescent="0.2">
      <c r="A471" s="45"/>
      <c r="B471" s="45"/>
      <c r="F471" s="45"/>
    </row>
    <row r="472" spans="1:6" ht="12.75" customHeight="1" x14ac:dyDescent="0.2">
      <c r="A472" s="45"/>
      <c r="B472" s="45"/>
      <c r="F472" s="45"/>
    </row>
    <row r="473" spans="1:6" ht="12.75" customHeight="1" x14ac:dyDescent="0.2">
      <c r="A473" s="45"/>
      <c r="B473" s="45"/>
      <c r="F473" s="45"/>
    </row>
    <row r="474" spans="1:6" ht="12.75" customHeight="1" x14ac:dyDescent="0.2">
      <c r="A474" s="45"/>
      <c r="B474" s="45"/>
      <c r="F474" s="45"/>
    </row>
    <row r="475" spans="1:6" ht="12.75" customHeight="1" x14ac:dyDescent="0.2">
      <c r="A475" s="45"/>
      <c r="B475" s="45"/>
      <c r="F475" s="45"/>
    </row>
    <row r="476" spans="1:6" ht="12.75" customHeight="1" x14ac:dyDescent="0.2">
      <c r="A476" s="45"/>
      <c r="B476" s="45"/>
      <c r="F476" s="45"/>
    </row>
    <row r="477" spans="1:6" ht="12.75" customHeight="1" x14ac:dyDescent="0.2">
      <c r="A477" s="45"/>
      <c r="B477" s="45"/>
      <c r="F477" s="45"/>
    </row>
    <row r="478" spans="1:6" ht="12.75" customHeight="1" x14ac:dyDescent="0.2">
      <c r="A478" s="45"/>
      <c r="B478" s="45"/>
      <c r="F478" s="45"/>
    </row>
    <row r="479" spans="1:6" ht="12.75" customHeight="1" x14ac:dyDescent="0.2">
      <c r="A479" s="45"/>
      <c r="B479" s="45"/>
      <c r="F479" s="45"/>
    </row>
    <row r="480" spans="1:6" ht="12.75" customHeight="1" x14ac:dyDescent="0.2">
      <c r="A480" s="45"/>
      <c r="B480" s="45"/>
      <c r="F480" s="45"/>
    </row>
    <row r="481" spans="1:6" ht="12.75" customHeight="1" x14ac:dyDescent="0.2">
      <c r="A481" s="45"/>
      <c r="B481" s="45"/>
      <c r="F481" s="45"/>
    </row>
    <row r="482" spans="1:6" ht="12.75" customHeight="1" x14ac:dyDescent="0.2">
      <c r="A482" s="45"/>
      <c r="B482" s="45"/>
      <c r="F482" s="45"/>
    </row>
    <row r="483" spans="1:6" ht="12.75" customHeight="1" x14ac:dyDescent="0.2">
      <c r="A483" s="45"/>
      <c r="B483" s="45"/>
      <c r="F483" s="45"/>
    </row>
    <row r="484" spans="1:6" ht="12.75" customHeight="1" x14ac:dyDescent="0.2">
      <c r="A484" s="45"/>
      <c r="B484" s="45"/>
      <c r="F484" s="45"/>
    </row>
    <row r="485" spans="1:6" ht="12.75" customHeight="1" x14ac:dyDescent="0.2">
      <c r="A485" s="45"/>
      <c r="B485" s="45"/>
      <c r="F485" s="45"/>
    </row>
    <row r="486" spans="1:6" ht="12.75" customHeight="1" x14ac:dyDescent="0.2">
      <c r="A486" s="45"/>
      <c r="B486" s="45"/>
      <c r="F486" s="45"/>
    </row>
    <row r="487" spans="1:6" ht="12.75" customHeight="1" x14ac:dyDescent="0.2">
      <c r="A487" s="45"/>
      <c r="B487" s="45"/>
      <c r="F487" s="45"/>
    </row>
    <row r="488" spans="1:6" ht="12.75" customHeight="1" x14ac:dyDescent="0.2">
      <c r="A488" s="45"/>
      <c r="B488" s="45"/>
      <c r="F488" s="45"/>
    </row>
    <row r="489" spans="1:6" ht="12.75" customHeight="1" x14ac:dyDescent="0.2">
      <c r="A489" s="45"/>
      <c r="B489" s="45"/>
      <c r="F489" s="45"/>
    </row>
    <row r="490" spans="1:6" ht="12.75" customHeight="1" x14ac:dyDescent="0.2">
      <c r="A490" s="45"/>
      <c r="B490" s="45"/>
      <c r="F490" s="45"/>
    </row>
    <row r="491" spans="1:6" ht="12.75" customHeight="1" x14ac:dyDescent="0.2">
      <c r="A491" s="45"/>
      <c r="B491" s="45"/>
      <c r="F491" s="45"/>
    </row>
    <row r="492" spans="1:6" ht="12.75" customHeight="1" x14ac:dyDescent="0.2">
      <c r="A492" s="45"/>
      <c r="B492" s="45"/>
      <c r="F492" s="45"/>
    </row>
    <row r="493" spans="1:6" ht="12.75" customHeight="1" x14ac:dyDescent="0.2">
      <c r="A493" s="45"/>
      <c r="B493" s="45"/>
      <c r="F493" s="45"/>
    </row>
    <row r="494" spans="1:6" ht="12.75" customHeight="1" x14ac:dyDescent="0.2">
      <c r="A494" s="45"/>
      <c r="B494" s="45"/>
      <c r="F494" s="45"/>
    </row>
    <row r="495" spans="1:6" ht="12.75" customHeight="1" x14ac:dyDescent="0.2">
      <c r="A495" s="45"/>
      <c r="B495" s="45"/>
      <c r="F495" s="45"/>
    </row>
    <row r="496" spans="1:6" ht="12.75" customHeight="1" x14ac:dyDescent="0.2">
      <c r="A496" s="45"/>
      <c r="B496" s="45"/>
      <c r="F496" s="45"/>
    </row>
    <row r="497" spans="1:6" ht="12.75" customHeight="1" x14ac:dyDescent="0.2">
      <c r="A497" s="45"/>
      <c r="B497" s="45"/>
      <c r="F497" s="45"/>
    </row>
    <row r="498" spans="1:6" ht="12.75" customHeight="1" x14ac:dyDescent="0.2">
      <c r="A498" s="45"/>
      <c r="B498" s="45"/>
      <c r="F498" s="45"/>
    </row>
    <row r="499" spans="1:6" ht="12.75" customHeight="1" x14ac:dyDescent="0.2">
      <c r="A499" s="45"/>
      <c r="B499" s="45"/>
      <c r="F499" s="45"/>
    </row>
    <row r="500" spans="1:6" ht="12.75" customHeight="1" x14ac:dyDescent="0.2">
      <c r="A500" s="45"/>
      <c r="B500" s="45"/>
      <c r="F500" s="45"/>
    </row>
    <row r="501" spans="1:6" ht="12.75" customHeight="1" x14ac:dyDescent="0.2">
      <c r="A501" s="45"/>
      <c r="B501" s="45"/>
      <c r="F501" s="45"/>
    </row>
    <row r="502" spans="1:6" ht="12.75" customHeight="1" x14ac:dyDescent="0.2">
      <c r="A502" s="45"/>
      <c r="B502" s="45"/>
      <c r="F502" s="45"/>
    </row>
    <row r="503" spans="1:6" ht="12.75" customHeight="1" x14ac:dyDescent="0.2">
      <c r="A503" s="45"/>
      <c r="B503" s="45"/>
      <c r="F503" s="45"/>
    </row>
    <row r="504" spans="1:6" ht="12.75" customHeight="1" x14ac:dyDescent="0.2">
      <c r="A504" s="45"/>
      <c r="B504" s="45"/>
      <c r="F504" s="45"/>
    </row>
    <row r="505" spans="1:6" ht="12.75" customHeight="1" x14ac:dyDescent="0.2">
      <c r="A505" s="45"/>
      <c r="B505" s="45"/>
      <c r="F505" s="45"/>
    </row>
    <row r="506" spans="1:6" ht="12.75" customHeight="1" x14ac:dyDescent="0.2">
      <c r="A506" s="45"/>
      <c r="B506" s="45"/>
      <c r="F506" s="45"/>
    </row>
    <row r="507" spans="1:6" ht="12.75" customHeight="1" x14ac:dyDescent="0.2">
      <c r="A507" s="45"/>
      <c r="B507" s="45"/>
      <c r="F507" s="45"/>
    </row>
    <row r="508" spans="1:6" ht="12.75" customHeight="1" x14ac:dyDescent="0.2">
      <c r="A508" s="45"/>
      <c r="B508" s="45"/>
      <c r="F508" s="45"/>
    </row>
    <row r="509" spans="1:6" ht="12.75" customHeight="1" x14ac:dyDescent="0.2">
      <c r="A509" s="45"/>
      <c r="B509" s="45"/>
      <c r="F509" s="45"/>
    </row>
    <row r="510" spans="1:6" ht="12.75" customHeight="1" x14ac:dyDescent="0.2">
      <c r="A510" s="45"/>
      <c r="B510" s="45"/>
      <c r="F510" s="45"/>
    </row>
    <row r="511" spans="1:6" ht="12.75" customHeight="1" x14ac:dyDescent="0.2">
      <c r="A511" s="45"/>
      <c r="B511" s="45"/>
      <c r="F511" s="45"/>
    </row>
    <row r="512" spans="1:6" ht="12.75" customHeight="1" x14ac:dyDescent="0.2">
      <c r="A512" s="45"/>
      <c r="B512" s="45"/>
      <c r="F512" s="45"/>
    </row>
    <row r="513" spans="1:6" ht="12.75" customHeight="1" x14ac:dyDescent="0.2">
      <c r="A513" s="45"/>
      <c r="B513" s="45"/>
      <c r="F513" s="45"/>
    </row>
    <row r="514" spans="1:6" ht="12.75" customHeight="1" x14ac:dyDescent="0.2">
      <c r="A514" s="45"/>
      <c r="B514" s="45"/>
      <c r="F514" s="45"/>
    </row>
    <row r="515" spans="1:6" ht="12.75" customHeight="1" x14ac:dyDescent="0.2">
      <c r="A515" s="45"/>
      <c r="B515" s="45"/>
      <c r="F515" s="45"/>
    </row>
    <row r="516" spans="1:6" ht="12.75" customHeight="1" x14ac:dyDescent="0.2">
      <c r="A516" s="45"/>
      <c r="B516" s="45"/>
      <c r="F516" s="45"/>
    </row>
    <row r="517" spans="1:6" ht="12.75" customHeight="1" x14ac:dyDescent="0.2">
      <c r="A517" s="45"/>
      <c r="B517" s="45"/>
      <c r="F517" s="45"/>
    </row>
    <row r="518" spans="1:6" ht="12.75" customHeight="1" x14ac:dyDescent="0.2">
      <c r="A518" s="45"/>
      <c r="B518" s="45"/>
      <c r="F518" s="45"/>
    </row>
    <row r="519" spans="1:6" ht="12.75" customHeight="1" x14ac:dyDescent="0.2">
      <c r="A519" s="45"/>
      <c r="B519" s="45"/>
      <c r="F519" s="45"/>
    </row>
    <row r="520" spans="1:6" ht="12.75" customHeight="1" x14ac:dyDescent="0.2">
      <c r="A520" s="45"/>
      <c r="B520" s="45"/>
      <c r="F520" s="45"/>
    </row>
    <row r="521" spans="1:6" ht="12.75" customHeight="1" x14ac:dyDescent="0.2">
      <c r="A521" s="45"/>
      <c r="B521" s="45"/>
      <c r="F521" s="45"/>
    </row>
    <row r="522" spans="1:6" ht="12.75" customHeight="1" x14ac:dyDescent="0.2">
      <c r="A522" s="45"/>
      <c r="B522" s="45"/>
      <c r="F522" s="45"/>
    </row>
    <row r="523" spans="1:6" ht="12.75" customHeight="1" x14ac:dyDescent="0.2">
      <c r="A523" s="45"/>
      <c r="B523" s="45"/>
      <c r="F523" s="45"/>
    </row>
    <row r="524" spans="1:6" ht="12.75" customHeight="1" x14ac:dyDescent="0.2">
      <c r="A524" s="45"/>
      <c r="B524" s="45"/>
      <c r="F524" s="45"/>
    </row>
    <row r="525" spans="1:6" ht="12.75" customHeight="1" x14ac:dyDescent="0.2">
      <c r="A525" s="45"/>
      <c r="B525" s="45"/>
      <c r="F525" s="45"/>
    </row>
    <row r="526" spans="1:6" ht="12.75" customHeight="1" x14ac:dyDescent="0.2">
      <c r="A526" s="45"/>
      <c r="B526" s="45"/>
      <c r="F526" s="45"/>
    </row>
    <row r="527" spans="1:6" ht="12.75" customHeight="1" x14ac:dyDescent="0.2">
      <c r="A527" s="45"/>
      <c r="B527" s="45"/>
      <c r="F527" s="45"/>
    </row>
    <row r="528" spans="1:6" ht="12.75" customHeight="1" x14ac:dyDescent="0.2">
      <c r="A528" s="45"/>
      <c r="B528" s="45"/>
      <c r="F528" s="45"/>
    </row>
    <row r="529" spans="1:6" ht="12.75" customHeight="1" x14ac:dyDescent="0.2">
      <c r="A529" s="45"/>
      <c r="B529" s="45"/>
      <c r="F529" s="45"/>
    </row>
    <row r="530" spans="1:6" ht="12.75" customHeight="1" x14ac:dyDescent="0.2">
      <c r="A530" s="45"/>
      <c r="B530" s="45"/>
      <c r="F530" s="45"/>
    </row>
    <row r="531" spans="1:6" ht="12.75" customHeight="1" x14ac:dyDescent="0.2">
      <c r="A531" s="45"/>
      <c r="B531" s="45"/>
      <c r="F531" s="45"/>
    </row>
    <row r="532" spans="1:6" ht="12.75" customHeight="1" x14ac:dyDescent="0.2">
      <c r="A532" s="45"/>
      <c r="B532" s="45"/>
      <c r="F532" s="45"/>
    </row>
    <row r="533" spans="1:6" ht="12.75" customHeight="1" x14ac:dyDescent="0.2">
      <c r="A533" s="45"/>
      <c r="B533" s="45"/>
      <c r="F533" s="45"/>
    </row>
    <row r="534" spans="1:6" ht="12.75" customHeight="1" x14ac:dyDescent="0.2">
      <c r="A534" s="45"/>
      <c r="B534" s="45"/>
      <c r="F534" s="45"/>
    </row>
    <row r="535" spans="1:6" ht="12.75" customHeight="1" x14ac:dyDescent="0.2">
      <c r="A535" s="45"/>
      <c r="B535" s="45"/>
      <c r="F535" s="45"/>
    </row>
    <row r="536" spans="1:6" ht="12.75" customHeight="1" x14ac:dyDescent="0.2">
      <c r="A536" s="45"/>
      <c r="B536" s="45"/>
      <c r="F536" s="45"/>
    </row>
    <row r="537" spans="1:6" ht="12.75" customHeight="1" x14ac:dyDescent="0.2">
      <c r="A537" s="45"/>
      <c r="B537" s="45"/>
      <c r="F537" s="45"/>
    </row>
    <row r="538" spans="1:6" ht="12.75" customHeight="1" x14ac:dyDescent="0.2">
      <c r="A538" s="45"/>
      <c r="B538" s="45"/>
      <c r="F538" s="45"/>
    </row>
    <row r="539" spans="1:6" ht="12.75" customHeight="1" x14ac:dyDescent="0.2">
      <c r="A539" s="45"/>
      <c r="B539" s="45"/>
      <c r="F539" s="45"/>
    </row>
    <row r="540" spans="1:6" ht="12.75" customHeight="1" x14ac:dyDescent="0.2">
      <c r="A540" s="45"/>
      <c r="B540" s="45"/>
      <c r="F540" s="45"/>
    </row>
    <row r="541" spans="1:6" ht="12.75" customHeight="1" x14ac:dyDescent="0.2">
      <c r="A541" s="45"/>
      <c r="B541" s="45"/>
      <c r="F541" s="45"/>
    </row>
    <row r="542" spans="1:6" ht="12.75" customHeight="1" x14ac:dyDescent="0.2">
      <c r="A542" s="45"/>
      <c r="B542" s="45"/>
      <c r="F542" s="45"/>
    </row>
    <row r="543" spans="1:6" ht="12.75" customHeight="1" x14ac:dyDescent="0.2">
      <c r="A543" s="45"/>
      <c r="B543" s="45"/>
      <c r="F543" s="45"/>
    </row>
    <row r="544" spans="1:6" ht="12.75" customHeight="1" x14ac:dyDescent="0.2">
      <c r="A544" s="45"/>
      <c r="B544" s="45"/>
      <c r="F544" s="45"/>
    </row>
    <row r="545" spans="1:6" ht="12.75" customHeight="1" x14ac:dyDescent="0.2">
      <c r="A545" s="45"/>
      <c r="B545" s="45"/>
      <c r="F545" s="45"/>
    </row>
    <row r="546" spans="1:6" ht="12.75" customHeight="1" x14ac:dyDescent="0.2">
      <c r="A546" s="45"/>
      <c r="B546" s="45"/>
      <c r="F546" s="45"/>
    </row>
    <row r="547" spans="1:6" ht="12.75" customHeight="1" x14ac:dyDescent="0.2">
      <c r="A547" s="45"/>
      <c r="B547" s="45"/>
      <c r="F547" s="45"/>
    </row>
    <row r="548" spans="1:6" ht="12.75" customHeight="1" x14ac:dyDescent="0.2">
      <c r="A548" s="45"/>
      <c r="B548" s="45"/>
      <c r="F548" s="45"/>
    </row>
    <row r="549" spans="1:6" ht="12.75" customHeight="1" x14ac:dyDescent="0.2">
      <c r="A549" s="45"/>
      <c r="B549" s="45"/>
      <c r="F549" s="45"/>
    </row>
    <row r="550" spans="1:6" ht="12.75" customHeight="1" x14ac:dyDescent="0.2">
      <c r="A550" s="45"/>
      <c r="B550" s="45"/>
      <c r="F550" s="45"/>
    </row>
    <row r="551" spans="1:6" ht="12.75" customHeight="1" x14ac:dyDescent="0.2">
      <c r="A551" s="45"/>
      <c r="B551" s="45"/>
      <c r="F551" s="45"/>
    </row>
    <row r="552" spans="1:6" ht="12.75" customHeight="1" x14ac:dyDescent="0.2">
      <c r="A552" s="45"/>
      <c r="B552" s="45"/>
      <c r="F552" s="45"/>
    </row>
    <row r="553" spans="1:6" ht="12.75" customHeight="1" x14ac:dyDescent="0.2">
      <c r="A553" s="45"/>
      <c r="B553" s="45"/>
      <c r="F553" s="45"/>
    </row>
    <row r="554" spans="1:6" ht="12.75" customHeight="1" x14ac:dyDescent="0.2">
      <c r="A554" s="45"/>
      <c r="B554" s="45"/>
      <c r="F554" s="45"/>
    </row>
    <row r="555" spans="1:6" ht="12.75" customHeight="1" x14ac:dyDescent="0.2">
      <c r="A555" s="45"/>
      <c r="B555" s="45"/>
      <c r="F555" s="45"/>
    </row>
    <row r="556" spans="1:6" ht="12.75" customHeight="1" x14ac:dyDescent="0.2">
      <c r="A556" s="45"/>
      <c r="B556" s="45"/>
      <c r="F556" s="45"/>
    </row>
    <row r="557" spans="1:6" ht="12.75" customHeight="1" x14ac:dyDescent="0.2">
      <c r="A557" s="45"/>
      <c r="B557" s="45"/>
      <c r="F557" s="45"/>
    </row>
    <row r="558" spans="1:6" ht="12.75" customHeight="1" x14ac:dyDescent="0.2">
      <c r="A558" s="45"/>
      <c r="B558" s="45"/>
      <c r="F558" s="45"/>
    </row>
    <row r="559" spans="1:6" ht="12.75" customHeight="1" x14ac:dyDescent="0.2">
      <c r="A559" s="45"/>
      <c r="B559" s="45"/>
      <c r="F559" s="45"/>
    </row>
    <row r="560" spans="1:6" ht="12.75" customHeight="1" x14ac:dyDescent="0.2">
      <c r="A560" s="45"/>
      <c r="B560" s="45"/>
      <c r="F560" s="45"/>
    </row>
    <row r="561" spans="1:6" ht="12.75" customHeight="1" x14ac:dyDescent="0.2">
      <c r="A561" s="45"/>
      <c r="B561" s="45"/>
      <c r="F561" s="45"/>
    </row>
    <row r="562" spans="1:6" ht="12.75" customHeight="1" x14ac:dyDescent="0.2">
      <c r="A562" s="45"/>
      <c r="B562" s="45"/>
      <c r="F562" s="45"/>
    </row>
    <row r="563" spans="1:6" ht="12.75" customHeight="1" x14ac:dyDescent="0.2">
      <c r="A563" s="45"/>
      <c r="B563" s="45"/>
      <c r="F563" s="45"/>
    </row>
    <row r="564" spans="1:6" ht="12.75" customHeight="1" x14ac:dyDescent="0.2">
      <c r="A564" s="45"/>
      <c r="B564" s="45"/>
      <c r="F564" s="45"/>
    </row>
    <row r="565" spans="1:6" ht="12.75" customHeight="1" x14ac:dyDescent="0.2">
      <c r="A565" s="45"/>
      <c r="B565" s="45"/>
      <c r="F565" s="45"/>
    </row>
    <row r="566" spans="1:6" ht="12.75" customHeight="1" x14ac:dyDescent="0.2">
      <c r="A566" s="45"/>
      <c r="B566" s="45"/>
      <c r="F566" s="45"/>
    </row>
    <row r="567" spans="1:6" ht="12.75" customHeight="1" x14ac:dyDescent="0.2">
      <c r="A567" s="45"/>
      <c r="B567" s="45"/>
      <c r="F567" s="45"/>
    </row>
    <row r="568" spans="1:6" ht="12.75" customHeight="1" x14ac:dyDescent="0.2">
      <c r="A568" s="45"/>
      <c r="B568" s="45"/>
      <c r="F568" s="45"/>
    </row>
    <row r="569" spans="1:6" ht="12.75" customHeight="1" x14ac:dyDescent="0.2">
      <c r="A569" s="45"/>
      <c r="B569" s="45"/>
      <c r="F569" s="45"/>
    </row>
    <row r="570" spans="1:6" ht="12.75" customHeight="1" x14ac:dyDescent="0.2">
      <c r="A570" s="45"/>
      <c r="B570" s="45"/>
      <c r="F570" s="45"/>
    </row>
    <row r="571" spans="1:6" ht="12.75" customHeight="1" x14ac:dyDescent="0.2">
      <c r="A571" s="45"/>
      <c r="B571" s="45"/>
      <c r="F571" s="45"/>
    </row>
    <row r="572" spans="1:6" ht="12.75" customHeight="1" x14ac:dyDescent="0.2">
      <c r="A572" s="45"/>
      <c r="B572" s="45"/>
      <c r="F572" s="45"/>
    </row>
    <row r="573" spans="1:6" ht="12.75" customHeight="1" x14ac:dyDescent="0.2">
      <c r="A573" s="45"/>
      <c r="B573" s="45"/>
      <c r="F573" s="45"/>
    </row>
    <row r="574" spans="1:6" ht="12.75" customHeight="1" x14ac:dyDescent="0.2">
      <c r="A574" s="45"/>
      <c r="B574" s="45"/>
      <c r="F574" s="45"/>
    </row>
    <row r="575" spans="1:6" ht="12.75" customHeight="1" x14ac:dyDescent="0.2">
      <c r="A575" s="45"/>
      <c r="B575" s="45"/>
      <c r="F575" s="45"/>
    </row>
    <row r="576" spans="1:6" ht="12.75" customHeight="1" x14ac:dyDescent="0.2">
      <c r="A576" s="45"/>
      <c r="B576" s="45"/>
      <c r="F576" s="45"/>
    </row>
    <row r="577" spans="1:6" ht="12.75" customHeight="1" x14ac:dyDescent="0.2">
      <c r="A577" s="45"/>
      <c r="B577" s="45"/>
      <c r="F577" s="45"/>
    </row>
    <row r="578" spans="1:6" ht="12.75" customHeight="1" x14ac:dyDescent="0.2">
      <c r="A578" s="45"/>
      <c r="B578" s="45"/>
      <c r="F578" s="45"/>
    </row>
    <row r="579" spans="1:6" ht="12.75" customHeight="1" x14ac:dyDescent="0.2">
      <c r="A579" s="45"/>
      <c r="B579" s="45"/>
      <c r="F579" s="45"/>
    </row>
    <row r="580" spans="1:6" ht="12.75" customHeight="1" x14ac:dyDescent="0.2">
      <c r="A580" s="45"/>
      <c r="B580" s="45"/>
      <c r="F580" s="45"/>
    </row>
    <row r="581" spans="1:6" ht="12.75" customHeight="1" x14ac:dyDescent="0.2">
      <c r="A581" s="45"/>
      <c r="B581" s="45"/>
      <c r="F581" s="45"/>
    </row>
    <row r="582" spans="1:6" ht="12.75" customHeight="1" x14ac:dyDescent="0.2">
      <c r="A582" s="45"/>
      <c r="B582" s="45"/>
      <c r="F582" s="45"/>
    </row>
    <row r="583" spans="1:6" ht="12.75" customHeight="1" x14ac:dyDescent="0.2">
      <c r="A583" s="45"/>
      <c r="B583" s="45"/>
      <c r="F583" s="45"/>
    </row>
    <row r="584" spans="1:6" ht="12.75" customHeight="1" x14ac:dyDescent="0.2">
      <c r="A584" s="45"/>
      <c r="B584" s="45"/>
      <c r="F584" s="45"/>
    </row>
    <row r="585" spans="1:6" ht="12.75" customHeight="1" x14ac:dyDescent="0.2">
      <c r="A585" s="45"/>
      <c r="B585" s="45"/>
      <c r="F585" s="45"/>
    </row>
    <row r="586" spans="1:6" ht="12.75" customHeight="1" x14ac:dyDescent="0.2">
      <c r="A586" s="45"/>
      <c r="B586" s="45"/>
      <c r="F586" s="45"/>
    </row>
    <row r="587" spans="1:6" ht="12.75" customHeight="1" x14ac:dyDescent="0.2">
      <c r="A587" s="45"/>
      <c r="B587" s="45"/>
      <c r="F587" s="45"/>
    </row>
    <row r="588" spans="1:6" ht="12.75" customHeight="1" x14ac:dyDescent="0.2">
      <c r="A588" s="45"/>
      <c r="B588" s="45"/>
      <c r="F588" s="45"/>
    </row>
    <row r="589" spans="1:6" ht="12.75" customHeight="1" x14ac:dyDescent="0.2">
      <c r="A589" s="45"/>
      <c r="B589" s="45"/>
      <c r="F589" s="45"/>
    </row>
    <row r="590" spans="1:6" ht="12.75" customHeight="1" x14ac:dyDescent="0.2">
      <c r="A590" s="45"/>
      <c r="B590" s="45"/>
      <c r="F590" s="45"/>
    </row>
    <row r="591" spans="1:6" ht="12.75" customHeight="1" x14ac:dyDescent="0.2">
      <c r="A591" s="45"/>
      <c r="B591" s="45"/>
      <c r="F591" s="45"/>
    </row>
    <row r="592" spans="1:6" ht="12.75" customHeight="1" x14ac:dyDescent="0.2">
      <c r="A592" s="45"/>
      <c r="B592" s="45"/>
      <c r="F592" s="45"/>
    </row>
    <row r="593" spans="1:6" ht="12.75" customHeight="1" x14ac:dyDescent="0.2">
      <c r="A593" s="45"/>
      <c r="B593" s="45"/>
      <c r="F593" s="45"/>
    </row>
    <row r="594" spans="1:6" ht="12.75" customHeight="1" x14ac:dyDescent="0.2">
      <c r="A594" s="45"/>
      <c r="B594" s="45"/>
      <c r="F594" s="45"/>
    </row>
    <row r="595" spans="1:6" ht="12.75" customHeight="1" x14ac:dyDescent="0.2">
      <c r="A595" s="45"/>
      <c r="B595" s="45"/>
      <c r="F595" s="45"/>
    </row>
    <row r="596" spans="1:6" ht="12.75" customHeight="1" x14ac:dyDescent="0.2">
      <c r="A596" s="45"/>
      <c r="B596" s="45"/>
      <c r="F596" s="45"/>
    </row>
    <row r="597" spans="1:6" ht="12.75" customHeight="1" x14ac:dyDescent="0.2">
      <c r="A597" s="45"/>
      <c r="B597" s="45"/>
      <c r="F597" s="45"/>
    </row>
    <row r="598" spans="1:6" ht="12.75" customHeight="1" x14ac:dyDescent="0.2">
      <c r="A598" s="45"/>
      <c r="B598" s="45"/>
      <c r="F598" s="45"/>
    </row>
    <row r="599" spans="1:6" ht="12.75" customHeight="1" x14ac:dyDescent="0.2">
      <c r="A599" s="45"/>
      <c r="B599" s="45"/>
      <c r="F599" s="45"/>
    </row>
    <row r="600" spans="1:6" ht="12.75" customHeight="1" x14ac:dyDescent="0.2">
      <c r="A600" s="45"/>
      <c r="B600" s="45"/>
      <c r="F600" s="45"/>
    </row>
    <row r="601" spans="1:6" ht="12.75" customHeight="1" x14ac:dyDescent="0.2">
      <c r="A601" s="45"/>
      <c r="B601" s="45"/>
      <c r="F601" s="45"/>
    </row>
    <row r="602" spans="1:6" ht="12.75" customHeight="1" x14ac:dyDescent="0.2">
      <c r="A602" s="45"/>
      <c r="B602" s="45"/>
      <c r="F602" s="45"/>
    </row>
    <row r="603" spans="1:6" ht="12.75" customHeight="1" x14ac:dyDescent="0.2">
      <c r="A603" s="45"/>
      <c r="B603" s="45"/>
      <c r="F603" s="45"/>
    </row>
    <row r="604" spans="1:6" ht="12.75" customHeight="1" x14ac:dyDescent="0.2">
      <c r="A604" s="45"/>
      <c r="B604" s="45"/>
      <c r="F604" s="45"/>
    </row>
    <row r="605" spans="1:6" ht="12.75" customHeight="1" x14ac:dyDescent="0.2">
      <c r="A605" s="45"/>
      <c r="B605" s="45"/>
      <c r="F605" s="45"/>
    </row>
    <row r="606" spans="1:6" ht="12.75" customHeight="1" x14ac:dyDescent="0.2">
      <c r="A606" s="45"/>
      <c r="B606" s="45"/>
      <c r="F606" s="45"/>
    </row>
    <row r="607" spans="1:6" ht="12.75" customHeight="1" x14ac:dyDescent="0.2">
      <c r="A607" s="45"/>
      <c r="B607" s="45"/>
      <c r="F607" s="45"/>
    </row>
    <row r="608" spans="1:6" ht="12.75" customHeight="1" x14ac:dyDescent="0.2">
      <c r="A608" s="45"/>
      <c r="B608" s="45"/>
      <c r="F608" s="45"/>
    </row>
    <row r="609" spans="1:6" ht="12.75" customHeight="1" x14ac:dyDescent="0.2">
      <c r="A609" s="45"/>
      <c r="B609" s="45"/>
      <c r="F609" s="45"/>
    </row>
    <row r="610" spans="1:6" ht="12.75" customHeight="1" x14ac:dyDescent="0.2">
      <c r="A610" s="45"/>
      <c r="B610" s="45"/>
      <c r="F610" s="45"/>
    </row>
    <row r="611" spans="1:6" ht="12.75" customHeight="1" x14ac:dyDescent="0.2">
      <c r="A611" s="45"/>
      <c r="B611" s="45"/>
      <c r="F611" s="45"/>
    </row>
    <row r="612" spans="1:6" ht="12.75" customHeight="1" x14ac:dyDescent="0.2">
      <c r="A612" s="45"/>
      <c r="B612" s="45"/>
      <c r="F612" s="45"/>
    </row>
    <row r="613" spans="1:6" ht="12.75" customHeight="1" x14ac:dyDescent="0.2">
      <c r="A613" s="45"/>
      <c r="B613" s="45"/>
      <c r="F613" s="45"/>
    </row>
    <row r="614" spans="1:6" ht="12.75" customHeight="1" x14ac:dyDescent="0.2">
      <c r="A614" s="45"/>
      <c r="B614" s="45"/>
      <c r="F614" s="45"/>
    </row>
    <row r="615" spans="1:6" ht="12.75" customHeight="1" x14ac:dyDescent="0.2">
      <c r="A615" s="45"/>
      <c r="B615" s="45"/>
      <c r="F615" s="45"/>
    </row>
    <row r="616" spans="1:6" ht="12.75" customHeight="1" x14ac:dyDescent="0.2">
      <c r="A616" s="45"/>
      <c r="B616" s="45"/>
      <c r="F616" s="45"/>
    </row>
    <row r="617" spans="1:6" ht="12.75" customHeight="1" x14ac:dyDescent="0.2">
      <c r="A617" s="45"/>
      <c r="B617" s="45"/>
      <c r="F617" s="45"/>
    </row>
    <row r="618" spans="1:6" ht="12.75" customHeight="1" x14ac:dyDescent="0.2">
      <c r="A618" s="45"/>
      <c r="B618" s="45"/>
      <c r="F618" s="45"/>
    </row>
    <row r="619" spans="1:6" ht="12.75" customHeight="1" x14ac:dyDescent="0.2">
      <c r="A619" s="45"/>
      <c r="B619" s="45"/>
      <c r="F619" s="45"/>
    </row>
    <row r="620" spans="1:6" ht="12.75" customHeight="1" x14ac:dyDescent="0.2">
      <c r="A620" s="45"/>
      <c r="B620" s="45"/>
      <c r="F620" s="45"/>
    </row>
    <row r="621" spans="1:6" ht="12.75" customHeight="1" x14ac:dyDescent="0.2">
      <c r="A621" s="45"/>
      <c r="B621" s="45"/>
      <c r="F621" s="45"/>
    </row>
    <row r="622" spans="1:6" ht="12.75" customHeight="1" x14ac:dyDescent="0.2">
      <c r="A622" s="45"/>
      <c r="B622" s="45"/>
      <c r="F622" s="45"/>
    </row>
    <row r="623" spans="1:6" ht="12.75" customHeight="1" x14ac:dyDescent="0.2">
      <c r="A623" s="45"/>
      <c r="B623" s="45"/>
      <c r="F623" s="45"/>
    </row>
    <row r="624" spans="1:6" ht="12.75" customHeight="1" x14ac:dyDescent="0.2">
      <c r="A624" s="45"/>
      <c r="B624" s="45"/>
      <c r="F624" s="45"/>
    </row>
    <row r="625" spans="1:6" ht="12.75" customHeight="1" x14ac:dyDescent="0.2">
      <c r="A625" s="45"/>
      <c r="B625" s="45"/>
      <c r="F625" s="45"/>
    </row>
    <row r="626" spans="1:6" ht="12.75" customHeight="1" x14ac:dyDescent="0.2">
      <c r="A626" s="45"/>
      <c r="B626" s="45"/>
      <c r="F626" s="45"/>
    </row>
    <row r="627" spans="1:6" ht="12.75" customHeight="1" x14ac:dyDescent="0.2">
      <c r="A627" s="45"/>
      <c r="B627" s="45"/>
      <c r="F627" s="45"/>
    </row>
    <row r="628" spans="1:6" ht="12.75" customHeight="1" x14ac:dyDescent="0.2">
      <c r="A628" s="45"/>
      <c r="B628" s="45"/>
      <c r="F628" s="45"/>
    </row>
    <row r="629" spans="1:6" ht="12.75" customHeight="1" x14ac:dyDescent="0.2">
      <c r="A629" s="45"/>
      <c r="B629" s="45"/>
      <c r="F629" s="45"/>
    </row>
    <row r="630" spans="1:6" ht="12.75" customHeight="1" x14ac:dyDescent="0.2">
      <c r="A630" s="45"/>
      <c r="B630" s="45"/>
      <c r="F630" s="45"/>
    </row>
    <row r="631" spans="1:6" ht="12.75" customHeight="1" x14ac:dyDescent="0.2">
      <c r="A631" s="45"/>
      <c r="B631" s="45"/>
      <c r="F631" s="45"/>
    </row>
    <row r="632" spans="1:6" ht="12.75" customHeight="1" x14ac:dyDescent="0.2">
      <c r="A632" s="45"/>
      <c r="B632" s="45"/>
      <c r="F632" s="45"/>
    </row>
    <row r="633" spans="1:6" ht="12.75" customHeight="1" x14ac:dyDescent="0.2">
      <c r="A633" s="45"/>
      <c r="B633" s="45"/>
      <c r="F633" s="45"/>
    </row>
    <row r="634" spans="1:6" ht="12.75" customHeight="1" x14ac:dyDescent="0.2">
      <c r="A634" s="45"/>
      <c r="B634" s="45"/>
      <c r="F634" s="45"/>
    </row>
    <row r="635" spans="1:6" ht="12.75" customHeight="1" x14ac:dyDescent="0.2">
      <c r="A635" s="45"/>
      <c r="B635" s="45"/>
      <c r="F635" s="45"/>
    </row>
    <row r="636" spans="1:6" ht="12.75" customHeight="1" x14ac:dyDescent="0.2">
      <c r="A636" s="45"/>
      <c r="B636" s="45"/>
      <c r="F636" s="45"/>
    </row>
    <row r="637" spans="1:6" ht="12.75" customHeight="1" x14ac:dyDescent="0.2">
      <c r="A637" s="45"/>
      <c r="B637" s="45"/>
      <c r="F637" s="45"/>
    </row>
    <row r="638" spans="1:6" ht="12.75" customHeight="1" x14ac:dyDescent="0.2">
      <c r="A638" s="45"/>
      <c r="B638" s="45"/>
      <c r="F638" s="45"/>
    </row>
    <row r="639" spans="1:6" ht="12.75" customHeight="1" x14ac:dyDescent="0.2">
      <c r="A639" s="45"/>
      <c r="B639" s="45"/>
      <c r="F639" s="45"/>
    </row>
    <row r="640" spans="1:6" ht="12.75" customHeight="1" x14ac:dyDescent="0.2">
      <c r="A640" s="45"/>
      <c r="B640" s="45"/>
      <c r="F640" s="45"/>
    </row>
    <row r="641" spans="1:6" ht="12.75" customHeight="1" x14ac:dyDescent="0.2">
      <c r="A641" s="45"/>
      <c r="B641" s="45"/>
      <c r="F641" s="45"/>
    </row>
    <row r="642" spans="1:6" ht="12.75" customHeight="1" x14ac:dyDescent="0.2">
      <c r="A642" s="45"/>
      <c r="B642" s="45"/>
      <c r="F642" s="45"/>
    </row>
    <row r="643" spans="1:6" ht="12.75" customHeight="1" x14ac:dyDescent="0.2">
      <c r="A643" s="45"/>
      <c r="B643" s="45"/>
      <c r="F643" s="45"/>
    </row>
    <row r="644" spans="1:6" ht="12.75" customHeight="1" x14ac:dyDescent="0.2">
      <c r="A644" s="45"/>
      <c r="B644" s="45"/>
      <c r="F644" s="45"/>
    </row>
    <row r="645" spans="1:6" ht="12.75" customHeight="1" x14ac:dyDescent="0.2">
      <c r="A645" s="45"/>
      <c r="B645" s="45"/>
      <c r="F645" s="45"/>
    </row>
    <row r="646" spans="1:6" ht="12.75" customHeight="1" x14ac:dyDescent="0.2">
      <c r="A646" s="45"/>
      <c r="B646" s="45"/>
      <c r="F646" s="45"/>
    </row>
    <row r="647" spans="1:6" ht="12.75" customHeight="1" x14ac:dyDescent="0.2">
      <c r="A647" s="45"/>
      <c r="B647" s="45"/>
      <c r="F647" s="45"/>
    </row>
    <row r="648" spans="1:6" ht="12.75" customHeight="1" x14ac:dyDescent="0.2">
      <c r="A648" s="45"/>
      <c r="B648" s="45"/>
      <c r="F648" s="45"/>
    </row>
    <row r="649" spans="1:6" ht="12.75" customHeight="1" x14ac:dyDescent="0.2">
      <c r="A649" s="45"/>
      <c r="B649" s="45"/>
      <c r="F649" s="45"/>
    </row>
    <row r="650" spans="1:6" ht="12.75" customHeight="1" x14ac:dyDescent="0.2">
      <c r="A650" s="45"/>
      <c r="B650" s="45"/>
      <c r="F650" s="45"/>
    </row>
    <row r="651" spans="1:6" ht="12.75" customHeight="1" x14ac:dyDescent="0.2">
      <c r="A651" s="45"/>
      <c r="B651" s="45"/>
      <c r="F651" s="45"/>
    </row>
    <row r="652" spans="1:6" ht="12.75" customHeight="1" x14ac:dyDescent="0.2">
      <c r="A652" s="45"/>
      <c r="B652" s="45"/>
      <c r="F652" s="45"/>
    </row>
    <row r="653" spans="1:6" ht="12.75" customHeight="1" x14ac:dyDescent="0.2">
      <c r="A653" s="45"/>
      <c r="B653" s="45"/>
      <c r="F653" s="45"/>
    </row>
    <row r="654" spans="1:6" ht="12.75" customHeight="1" x14ac:dyDescent="0.2">
      <c r="A654" s="45"/>
      <c r="B654" s="45"/>
      <c r="F654" s="45"/>
    </row>
    <row r="655" spans="1:6" ht="12.75" customHeight="1" x14ac:dyDescent="0.2">
      <c r="A655" s="45"/>
      <c r="B655" s="45"/>
      <c r="F655" s="45"/>
    </row>
    <row r="656" spans="1:6" ht="12.75" customHeight="1" x14ac:dyDescent="0.2">
      <c r="A656" s="45"/>
      <c r="B656" s="45"/>
      <c r="F656" s="45"/>
    </row>
    <row r="657" spans="1:6" ht="12.75" customHeight="1" x14ac:dyDescent="0.2">
      <c r="A657" s="45"/>
      <c r="B657" s="45"/>
      <c r="F657" s="45"/>
    </row>
    <row r="658" spans="1:6" ht="12.75" customHeight="1" x14ac:dyDescent="0.2">
      <c r="A658" s="45"/>
      <c r="B658" s="45"/>
      <c r="F658" s="45"/>
    </row>
    <row r="659" spans="1:6" ht="12.75" customHeight="1" x14ac:dyDescent="0.2">
      <c r="A659" s="45"/>
      <c r="B659" s="45"/>
      <c r="F659" s="45"/>
    </row>
    <row r="660" spans="1:6" ht="12.75" customHeight="1" x14ac:dyDescent="0.2">
      <c r="A660" s="45"/>
      <c r="B660" s="45"/>
      <c r="F660" s="45"/>
    </row>
    <row r="661" spans="1:6" ht="12.75" customHeight="1" x14ac:dyDescent="0.2">
      <c r="A661" s="45"/>
      <c r="B661" s="45"/>
      <c r="F661" s="45"/>
    </row>
    <row r="662" spans="1:6" ht="12.75" customHeight="1" x14ac:dyDescent="0.2">
      <c r="A662" s="45"/>
      <c r="B662" s="45"/>
      <c r="F662" s="45"/>
    </row>
    <row r="663" spans="1:6" ht="12.75" customHeight="1" x14ac:dyDescent="0.2">
      <c r="A663" s="45"/>
      <c r="B663" s="45"/>
      <c r="F663" s="45"/>
    </row>
    <row r="664" spans="1:6" ht="12.75" customHeight="1" x14ac:dyDescent="0.2">
      <c r="A664" s="45"/>
      <c r="B664" s="45"/>
      <c r="F664" s="45"/>
    </row>
    <row r="665" spans="1:6" ht="12.75" customHeight="1" x14ac:dyDescent="0.2">
      <c r="A665" s="45"/>
      <c r="B665" s="45"/>
      <c r="F665" s="45"/>
    </row>
    <row r="666" spans="1:6" ht="12.75" customHeight="1" x14ac:dyDescent="0.2">
      <c r="A666" s="45"/>
      <c r="B666" s="45"/>
      <c r="F666" s="45"/>
    </row>
    <row r="667" spans="1:6" ht="12.75" customHeight="1" x14ac:dyDescent="0.2">
      <c r="A667" s="45"/>
      <c r="B667" s="45"/>
      <c r="F667" s="45"/>
    </row>
    <row r="668" spans="1:6" ht="12.75" customHeight="1" x14ac:dyDescent="0.2">
      <c r="A668" s="45"/>
      <c r="B668" s="45"/>
      <c r="F668" s="45"/>
    </row>
    <row r="669" spans="1:6" ht="12.75" customHeight="1" x14ac:dyDescent="0.2">
      <c r="A669" s="45"/>
      <c r="B669" s="45"/>
      <c r="F669" s="45"/>
    </row>
    <row r="670" spans="1:6" ht="12.75" customHeight="1" x14ac:dyDescent="0.2">
      <c r="A670" s="45"/>
      <c r="B670" s="45"/>
      <c r="F670" s="45"/>
    </row>
    <row r="671" spans="1:6" ht="12.75" customHeight="1" x14ac:dyDescent="0.2">
      <c r="A671" s="45"/>
      <c r="B671" s="45"/>
      <c r="F671" s="45"/>
    </row>
    <row r="672" spans="1:6" ht="12.75" customHeight="1" x14ac:dyDescent="0.2">
      <c r="A672" s="45"/>
      <c r="B672" s="45"/>
      <c r="F672" s="45"/>
    </row>
    <row r="673" spans="1:6" ht="12.75" customHeight="1" x14ac:dyDescent="0.2">
      <c r="A673" s="45"/>
      <c r="B673" s="45"/>
      <c r="F673" s="45"/>
    </row>
    <row r="674" spans="1:6" ht="12.75" customHeight="1" x14ac:dyDescent="0.2">
      <c r="A674" s="45"/>
      <c r="B674" s="45"/>
      <c r="F674" s="45"/>
    </row>
    <row r="675" spans="1:6" ht="12.75" customHeight="1" x14ac:dyDescent="0.2">
      <c r="A675" s="45"/>
      <c r="B675" s="45"/>
      <c r="F675" s="45"/>
    </row>
    <row r="676" spans="1:6" ht="12.75" customHeight="1" x14ac:dyDescent="0.2">
      <c r="A676" s="45"/>
      <c r="B676" s="45"/>
      <c r="F676" s="45"/>
    </row>
    <row r="677" spans="1:6" ht="12.75" customHeight="1" x14ac:dyDescent="0.2">
      <c r="A677" s="45"/>
      <c r="B677" s="45"/>
      <c r="F677" s="45"/>
    </row>
    <row r="678" spans="1:6" ht="12.75" customHeight="1" x14ac:dyDescent="0.2">
      <c r="A678" s="45"/>
      <c r="B678" s="45"/>
      <c r="F678" s="45"/>
    </row>
    <row r="679" spans="1:6" ht="12.75" customHeight="1" x14ac:dyDescent="0.2">
      <c r="A679" s="45"/>
      <c r="B679" s="45"/>
      <c r="F679" s="45"/>
    </row>
    <row r="680" spans="1:6" ht="12.75" customHeight="1" x14ac:dyDescent="0.2">
      <c r="A680" s="45"/>
      <c r="B680" s="45"/>
      <c r="F680" s="45"/>
    </row>
    <row r="681" spans="1:6" ht="12.75" customHeight="1" x14ac:dyDescent="0.2">
      <c r="A681" s="45"/>
      <c r="B681" s="45"/>
      <c r="F681" s="45"/>
    </row>
    <row r="682" spans="1:6" ht="12.75" customHeight="1" x14ac:dyDescent="0.2">
      <c r="A682" s="45"/>
      <c r="B682" s="45"/>
      <c r="F682" s="45"/>
    </row>
    <row r="683" spans="1:6" ht="12.75" customHeight="1" x14ac:dyDescent="0.2">
      <c r="A683" s="45"/>
      <c r="B683" s="45"/>
      <c r="F683" s="45"/>
    </row>
    <row r="684" spans="1:6" ht="12.75" customHeight="1" x14ac:dyDescent="0.2">
      <c r="A684" s="45"/>
      <c r="B684" s="45"/>
      <c r="F684" s="45"/>
    </row>
    <row r="685" spans="1:6" ht="12.75" customHeight="1" x14ac:dyDescent="0.2">
      <c r="A685" s="45"/>
      <c r="B685" s="45"/>
      <c r="F685" s="45"/>
    </row>
    <row r="686" spans="1:6" ht="12.75" customHeight="1" x14ac:dyDescent="0.2">
      <c r="A686" s="45"/>
      <c r="B686" s="45"/>
      <c r="F686" s="45"/>
    </row>
    <row r="687" spans="1:6" ht="12.75" customHeight="1" x14ac:dyDescent="0.2">
      <c r="A687" s="45"/>
      <c r="B687" s="45"/>
      <c r="F687" s="45"/>
    </row>
    <row r="688" spans="1:6" ht="12.75" customHeight="1" x14ac:dyDescent="0.2">
      <c r="A688" s="45"/>
      <c r="B688" s="45"/>
      <c r="F688" s="45"/>
    </row>
    <row r="689" spans="1:6" ht="12.75" customHeight="1" x14ac:dyDescent="0.2">
      <c r="A689" s="45"/>
      <c r="B689" s="45"/>
      <c r="F689" s="45"/>
    </row>
    <row r="690" spans="1:6" ht="12.75" customHeight="1" x14ac:dyDescent="0.2">
      <c r="A690" s="45"/>
      <c r="B690" s="45"/>
      <c r="F690" s="45"/>
    </row>
    <row r="691" spans="1:6" ht="12.75" customHeight="1" x14ac:dyDescent="0.2">
      <c r="A691" s="45"/>
      <c r="B691" s="45"/>
      <c r="F691" s="45"/>
    </row>
    <row r="692" spans="1:6" ht="12.75" customHeight="1" x14ac:dyDescent="0.2">
      <c r="A692" s="45"/>
      <c r="B692" s="45"/>
      <c r="F692" s="45"/>
    </row>
    <row r="693" spans="1:6" ht="12.75" customHeight="1" x14ac:dyDescent="0.2">
      <c r="A693" s="45"/>
      <c r="B693" s="45"/>
      <c r="F693" s="45"/>
    </row>
    <row r="694" spans="1:6" ht="12.75" customHeight="1" x14ac:dyDescent="0.2">
      <c r="A694" s="45"/>
      <c r="B694" s="45"/>
      <c r="F694" s="45"/>
    </row>
    <row r="695" spans="1:6" ht="12.75" customHeight="1" x14ac:dyDescent="0.2">
      <c r="A695" s="45"/>
      <c r="B695" s="45"/>
      <c r="F695" s="45"/>
    </row>
    <row r="696" spans="1:6" ht="12.75" customHeight="1" x14ac:dyDescent="0.2">
      <c r="A696" s="45"/>
      <c r="B696" s="45"/>
      <c r="F696" s="45"/>
    </row>
    <row r="697" spans="1:6" ht="12.75" customHeight="1" x14ac:dyDescent="0.2">
      <c r="A697" s="45"/>
      <c r="B697" s="45"/>
      <c r="F697" s="45"/>
    </row>
    <row r="698" spans="1:6" ht="12.75" customHeight="1" x14ac:dyDescent="0.2">
      <c r="A698" s="45"/>
      <c r="B698" s="45"/>
      <c r="F698" s="45"/>
    </row>
    <row r="699" spans="1:6" ht="12.75" customHeight="1" x14ac:dyDescent="0.2">
      <c r="A699" s="45"/>
      <c r="B699" s="45"/>
      <c r="F699" s="45"/>
    </row>
    <row r="700" spans="1:6" ht="12.75" customHeight="1" x14ac:dyDescent="0.2">
      <c r="A700" s="45"/>
      <c r="B700" s="45"/>
      <c r="F700" s="45"/>
    </row>
    <row r="701" spans="1:6" ht="12.75" customHeight="1" x14ac:dyDescent="0.2">
      <c r="A701" s="45"/>
      <c r="B701" s="45"/>
      <c r="F701" s="45"/>
    </row>
    <row r="702" spans="1:6" ht="12.75" customHeight="1" x14ac:dyDescent="0.2">
      <c r="A702" s="45"/>
      <c r="B702" s="45"/>
      <c r="F702" s="45"/>
    </row>
    <row r="703" spans="1:6" ht="12.75" customHeight="1" x14ac:dyDescent="0.2">
      <c r="A703" s="45"/>
      <c r="B703" s="45"/>
      <c r="F703" s="45"/>
    </row>
    <row r="704" spans="1:6" ht="12.75" customHeight="1" x14ac:dyDescent="0.2">
      <c r="A704" s="45"/>
      <c r="B704" s="45"/>
      <c r="F704" s="45"/>
    </row>
    <row r="705" spans="1:6" ht="12.75" customHeight="1" x14ac:dyDescent="0.2">
      <c r="A705" s="45"/>
      <c r="B705" s="45"/>
      <c r="F705" s="45"/>
    </row>
    <row r="706" spans="1:6" ht="12.75" customHeight="1" x14ac:dyDescent="0.2">
      <c r="A706" s="45"/>
      <c r="B706" s="45"/>
      <c r="F706" s="45"/>
    </row>
    <row r="707" spans="1:6" ht="12.75" customHeight="1" x14ac:dyDescent="0.2">
      <c r="A707" s="45"/>
      <c r="B707" s="45"/>
      <c r="F707" s="45"/>
    </row>
    <row r="708" spans="1:6" ht="12.75" customHeight="1" x14ac:dyDescent="0.2">
      <c r="A708" s="45"/>
      <c r="B708" s="45"/>
      <c r="F708" s="45"/>
    </row>
    <row r="709" spans="1:6" ht="12.75" customHeight="1" x14ac:dyDescent="0.2">
      <c r="A709" s="45"/>
      <c r="B709" s="45"/>
      <c r="F709" s="45"/>
    </row>
    <row r="710" spans="1:6" ht="12.75" customHeight="1" x14ac:dyDescent="0.2">
      <c r="A710" s="45"/>
      <c r="B710" s="45"/>
      <c r="F710" s="45"/>
    </row>
    <row r="711" spans="1:6" ht="12.75" customHeight="1" x14ac:dyDescent="0.2">
      <c r="A711" s="45"/>
      <c r="B711" s="45"/>
      <c r="F711" s="45"/>
    </row>
    <row r="712" spans="1:6" ht="12.75" customHeight="1" x14ac:dyDescent="0.2">
      <c r="A712" s="45"/>
      <c r="B712" s="45"/>
      <c r="F712" s="45"/>
    </row>
    <row r="713" spans="1:6" ht="12.75" customHeight="1" x14ac:dyDescent="0.2">
      <c r="A713" s="45"/>
      <c r="B713" s="45"/>
      <c r="F713" s="45"/>
    </row>
    <row r="714" spans="1:6" ht="12.75" customHeight="1" x14ac:dyDescent="0.2">
      <c r="A714" s="45"/>
      <c r="B714" s="45"/>
      <c r="F714" s="45"/>
    </row>
    <row r="715" spans="1:6" ht="12.75" customHeight="1" x14ac:dyDescent="0.2">
      <c r="A715" s="45"/>
      <c r="B715" s="45"/>
      <c r="F715" s="45"/>
    </row>
    <row r="716" spans="1:6" ht="12.75" customHeight="1" x14ac:dyDescent="0.2">
      <c r="A716" s="45"/>
      <c r="B716" s="45"/>
      <c r="F716" s="45"/>
    </row>
    <row r="717" spans="1:6" ht="12.75" customHeight="1" x14ac:dyDescent="0.2">
      <c r="A717" s="45"/>
      <c r="B717" s="45"/>
      <c r="F717" s="45"/>
    </row>
    <row r="718" spans="1:6" ht="12.75" customHeight="1" x14ac:dyDescent="0.2">
      <c r="A718" s="45"/>
      <c r="B718" s="45"/>
      <c r="F718" s="45"/>
    </row>
    <row r="719" spans="1:6" ht="12.75" customHeight="1" x14ac:dyDescent="0.2">
      <c r="A719" s="45"/>
      <c r="B719" s="45"/>
      <c r="F719" s="45"/>
    </row>
    <row r="720" spans="1:6" ht="12.75" customHeight="1" x14ac:dyDescent="0.2">
      <c r="A720" s="45"/>
      <c r="B720" s="45"/>
      <c r="F720" s="45"/>
    </row>
    <row r="721" spans="1:6" ht="12.75" customHeight="1" x14ac:dyDescent="0.2">
      <c r="A721" s="45"/>
      <c r="B721" s="45"/>
      <c r="F721" s="45"/>
    </row>
    <row r="722" spans="1:6" ht="12.75" customHeight="1" x14ac:dyDescent="0.2">
      <c r="A722" s="45"/>
      <c r="B722" s="45"/>
      <c r="F722" s="45"/>
    </row>
    <row r="723" spans="1:6" ht="12.75" customHeight="1" x14ac:dyDescent="0.2">
      <c r="A723" s="45"/>
      <c r="B723" s="45"/>
      <c r="F723" s="45"/>
    </row>
    <row r="724" spans="1:6" ht="12.75" customHeight="1" x14ac:dyDescent="0.2">
      <c r="A724" s="45"/>
      <c r="B724" s="45"/>
      <c r="F724" s="45"/>
    </row>
    <row r="725" spans="1:6" ht="12.75" customHeight="1" x14ac:dyDescent="0.2">
      <c r="A725" s="45"/>
      <c r="B725" s="45"/>
      <c r="F725" s="45"/>
    </row>
    <row r="726" spans="1:6" ht="12.75" customHeight="1" x14ac:dyDescent="0.2">
      <c r="A726" s="45"/>
      <c r="B726" s="45"/>
      <c r="F726" s="45"/>
    </row>
    <row r="727" spans="1:6" ht="12.75" customHeight="1" x14ac:dyDescent="0.2">
      <c r="A727" s="45"/>
      <c r="B727" s="45"/>
      <c r="F727" s="45"/>
    </row>
    <row r="728" spans="1:6" ht="12.75" customHeight="1" x14ac:dyDescent="0.2">
      <c r="A728" s="45"/>
      <c r="B728" s="45"/>
      <c r="F728" s="45"/>
    </row>
    <row r="729" spans="1:6" ht="12.75" customHeight="1" x14ac:dyDescent="0.2">
      <c r="A729" s="45"/>
      <c r="B729" s="45"/>
      <c r="F729" s="45"/>
    </row>
    <row r="730" spans="1:6" ht="12.75" customHeight="1" x14ac:dyDescent="0.2">
      <c r="A730" s="45"/>
      <c r="B730" s="45"/>
      <c r="F730" s="45"/>
    </row>
    <row r="731" spans="1:6" ht="12.75" customHeight="1" x14ac:dyDescent="0.2">
      <c r="A731" s="45"/>
      <c r="B731" s="45"/>
      <c r="F731" s="45"/>
    </row>
    <row r="732" spans="1:6" ht="12.75" customHeight="1" x14ac:dyDescent="0.2">
      <c r="A732" s="45"/>
      <c r="B732" s="45"/>
      <c r="F732" s="45"/>
    </row>
    <row r="733" spans="1:6" ht="12.75" customHeight="1" x14ac:dyDescent="0.2">
      <c r="A733" s="45"/>
      <c r="B733" s="45"/>
      <c r="F733" s="45"/>
    </row>
    <row r="734" spans="1:6" ht="12.75" customHeight="1" x14ac:dyDescent="0.2">
      <c r="A734" s="45"/>
      <c r="B734" s="45"/>
      <c r="F734" s="45"/>
    </row>
    <row r="735" spans="1:6" ht="12.75" customHeight="1" x14ac:dyDescent="0.2">
      <c r="A735" s="45"/>
      <c r="B735" s="45"/>
      <c r="F735" s="45"/>
    </row>
    <row r="736" spans="1:6" ht="12.75" customHeight="1" x14ac:dyDescent="0.2">
      <c r="A736" s="45"/>
      <c r="B736" s="45"/>
      <c r="F736" s="45"/>
    </row>
    <row r="737" spans="1:6" ht="12.75" customHeight="1" x14ac:dyDescent="0.2">
      <c r="A737" s="45"/>
      <c r="B737" s="45"/>
      <c r="F737" s="45"/>
    </row>
    <row r="738" spans="1:6" ht="12.75" customHeight="1" x14ac:dyDescent="0.2">
      <c r="A738" s="45"/>
      <c r="B738" s="45"/>
      <c r="F738" s="45"/>
    </row>
    <row r="739" spans="1:6" ht="12.75" customHeight="1" x14ac:dyDescent="0.2">
      <c r="A739" s="45"/>
      <c r="B739" s="45"/>
      <c r="F739" s="45"/>
    </row>
    <row r="740" spans="1:6" ht="12.75" customHeight="1" x14ac:dyDescent="0.2">
      <c r="A740" s="45"/>
      <c r="B740" s="45"/>
      <c r="F740" s="45"/>
    </row>
    <row r="741" spans="1:6" ht="12.75" customHeight="1" x14ac:dyDescent="0.2">
      <c r="A741" s="45"/>
      <c r="B741" s="45"/>
      <c r="F741" s="45"/>
    </row>
    <row r="742" spans="1:6" ht="12.75" customHeight="1" x14ac:dyDescent="0.2">
      <c r="A742" s="45"/>
      <c r="B742" s="45"/>
      <c r="F742" s="45"/>
    </row>
    <row r="743" spans="1:6" ht="12.75" customHeight="1" x14ac:dyDescent="0.2">
      <c r="A743" s="45"/>
      <c r="B743" s="45"/>
      <c r="F743" s="45"/>
    </row>
    <row r="744" spans="1:6" ht="12.75" customHeight="1" x14ac:dyDescent="0.2">
      <c r="A744" s="45"/>
      <c r="B744" s="45"/>
      <c r="F744" s="45"/>
    </row>
    <row r="745" spans="1:6" ht="12.75" customHeight="1" x14ac:dyDescent="0.2">
      <c r="A745" s="45"/>
      <c r="B745" s="45"/>
      <c r="F745" s="45"/>
    </row>
    <row r="746" spans="1:6" ht="12.75" customHeight="1" x14ac:dyDescent="0.2">
      <c r="A746" s="45"/>
      <c r="B746" s="45"/>
      <c r="F746" s="45"/>
    </row>
    <row r="747" spans="1:6" ht="12.75" customHeight="1" x14ac:dyDescent="0.2">
      <c r="A747" s="45"/>
      <c r="B747" s="45"/>
      <c r="F747" s="45"/>
    </row>
    <row r="748" spans="1:6" ht="12.75" customHeight="1" x14ac:dyDescent="0.2">
      <c r="A748" s="45"/>
      <c r="B748" s="45"/>
      <c r="F748" s="45"/>
    </row>
    <row r="749" spans="1:6" ht="12.75" customHeight="1" x14ac:dyDescent="0.2">
      <c r="A749" s="45"/>
      <c r="B749" s="45"/>
      <c r="F749" s="45"/>
    </row>
    <row r="750" spans="1:6" ht="12.75" customHeight="1" x14ac:dyDescent="0.2">
      <c r="A750" s="45"/>
      <c r="B750" s="45"/>
      <c r="F750" s="45"/>
    </row>
    <row r="751" spans="1:6" ht="12.75" customHeight="1" x14ac:dyDescent="0.2">
      <c r="A751" s="45"/>
      <c r="B751" s="45"/>
      <c r="F751" s="45"/>
    </row>
    <row r="752" spans="1:6" ht="12.75" customHeight="1" x14ac:dyDescent="0.2">
      <c r="A752" s="45"/>
      <c r="B752" s="45"/>
      <c r="F752" s="45"/>
    </row>
    <row r="753" spans="1:6" ht="12.75" customHeight="1" x14ac:dyDescent="0.2">
      <c r="A753" s="45"/>
      <c r="B753" s="45"/>
      <c r="F753" s="45"/>
    </row>
    <row r="754" spans="1:6" ht="12.75" customHeight="1" x14ac:dyDescent="0.2">
      <c r="A754" s="45"/>
      <c r="B754" s="45"/>
      <c r="F754" s="45"/>
    </row>
    <row r="755" spans="1:6" ht="12.75" customHeight="1" x14ac:dyDescent="0.2">
      <c r="A755" s="45"/>
      <c r="B755" s="45"/>
      <c r="F755" s="45"/>
    </row>
    <row r="756" spans="1:6" ht="12.75" customHeight="1" x14ac:dyDescent="0.2">
      <c r="A756" s="45"/>
      <c r="B756" s="45"/>
      <c r="F756" s="45"/>
    </row>
    <row r="757" spans="1:6" ht="12.75" customHeight="1" x14ac:dyDescent="0.2">
      <c r="A757" s="45"/>
      <c r="B757" s="45"/>
      <c r="F757" s="45"/>
    </row>
    <row r="758" spans="1:6" ht="12.75" customHeight="1" x14ac:dyDescent="0.2">
      <c r="A758" s="45"/>
      <c r="B758" s="45"/>
      <c r="F758" s="45"/>
    </row>
    <row r="759" spans="1:6" ht="12.75" customHeight="1" x14ac:dyDescent="0.2">
      <c r="A759" s="45"/>
      <c r="B759" s="45"/>
      <c r="F759" s="45"/>
    </row>
    <row r="760" spans="1:6" ht="12.75" customHeight="1" x14ac:dyDescent="0.2">
      <c r="A760" s="45"/>
      <c r="B760" s="45"/>
      <c r="F760" s="45"/>
    </row>
    <row r="761" spans="1:6" ht="12.75" customHeight="1" x14ac:dyDescent="0.2">
      <c r="A761" s="45"/>
      <c r="B761" s="45"/>
      <c r="F761" s="45"/>
    </row>
    <row r="762" spans="1:6" ht="12.75" customHeight="1" x14ac:dyDescent="0.2">
      <c r="A762" s="45"/>
      <c r="B762" s="45"/>
      <c r="F762" s="45"/>
    </row>
    <row r="763" spans="1:6" ht="12.75" customHeight="1" x14ac:dyDescent="0.2">
      <c r="A763" s="45"/>
      <c r="B763" s="45"/>
      <c r="F763" s="45"/>
    </row>
    <row r="764" spans="1:6" ht="12.75" customHeight="1" x14ac:dyDescent="0.2">
      <c r="A764" s="45"/>
      <c r="B764" s="45"/>
      <c r="F764" s="45"/>
    </row>
    <row r="765" spans="1:6" ht="12.75" customHeight="1" x14ac:dyDescent="0.2">
      <c r="A765" s="45"/>
      <c r="B765" s="45"/>
      <c r="F765" s="45"/>
    </row>
    <row r="766" spans="1:6" ht="12.75" customHeight="1" x14ac:dyDescent="0.2">
      <c r="A766" s="45"/>
      <c r="B766" s="45"/>
      <c r="F766" s="45"/>
    </row>
    <row r="767" spans="1:6" ht="12.75" customHeight="1" x14ac:dyDescent="0.2">
      <c r="A767" s="45"/>
      <c r="B767" s="45"/>
      <c r="F767" s="45"/>
    </row>
    <row r="768" spans="1:6" ht="12.75" customHeight="1" x14ac:dyDescent="0.2">
      <c r="A768" s="45"/>
      <c r="B768" s="45"/>
      <c r="F768" s="45"/>
    </row>
    <row r="769" spans="1:6" ht="12.75" customHeight="1" x14ac:dyDescent="0.2">
      <c r="A769" s="45"/>
      <c r="B769" s="45"/>
      <c r="F769" s="45"/>
    </row>
    <row r="770" spans="1:6" ht="12.75" customHeight="1" x14ac:dyDescent="0.2">
      <c r="A770" s="45"/>
      <c r="B770" s="45"/>
      <c r="F770" s="45"/>
    </row>
    <row r="771" spans="1:6" ht="12.75" customHeight="1" x14ac:dyDescent="0.2">
      <c r="A771" s="45"/>
      <c r="B771" s="45"/>
      <c r="F771" s="45"/>
    </row>
    <row r="772" spans="1:6" ht="12.75" customHeight="1" x14ac:dyDescent="0.2">
      <c r="A772" s="45"/>
      <c r="B772" s="45"/>
      <c r="F772" s="45"/>
    </row>
    <row r="773" spans="1:6" ht="12.75" customHeight="1" x14ac:dyDescent="0.2">
      <c r="A773" s="45"/>
      <c r="B773" s="45"/>
      <c r="F773" s="45"/>
    </row>
    <row r="774" spans="1:6" ht="12.75" customHeight="1" x14ac:dyDescent="0.2">
      <c r="A774" s="45"/>
      <c r="B774" s="45"/>
      <c r="F774" s="45"/>
    </row>
    <row r="775" spans="1:6" ht="12.75" customHeight="1" x14ac:dyDescent="0.2">
      <c r="A775" s="45"/>
      <c r="B775" s="45"/>
      <c r="F775" s="45"/>
    </row>
    <row r="776" spans="1:6" ht="12.75" customHeight="1" x14ac:dyDescent="0.2">
      <c r="A776" s="45"/>
      <c r="B776" s="45"/>
      <c r="F776" s="45"/>
    </row>
    <row r="777" spans="1:6" ht="12.75" customHeight="1" x14ac:dyDescent="0.2">
      <c r="A777" s="45"/>
      <c r="B777" s="45"/>
      <c r="F777" s="45"/>
    </row>
    <row r="778" spans="1:6" ht="12.75" customHeight="1" x14ac:dyDescent="0.2">
      <c r="A778" s="45"/>
      <c r="B778" s="45"/>
      <c r="F778" s="45"/>
    </row>
    <row r="779" spans="1:6" ht="12.75" customHeight="1" x14ac:dyDescent="0.2">
      <c r="A779" s="45"/>
      <c r="B779" s="45"/>
      <c r="F779" s="45"/>
    </row>
    <row r="780" spans="1:6" ht="12.75" customHeight="1" x14ac:dyDescent="0.2">
      <c r="A780" s="45"/>
      <c r="B780" s="45"/>
      <c r="F780" s="45"/>
    </row>
    <row r="781" spans="1:6" ht="12.75" customHeight="1" x14ac:dyDescent="0.2">
      <c r="A781" s="45"/>
      <c r="B781" s="45"/>
      <c r="F781" s="45"/>
    </row>
    <row r="782" spans="1:6" ht="12.75" customHeight="1" x14ac:dyDescent="0.2">
      <c r="A782" s="45"/>
      <c r="B782" s="45"/>
      <c r="F782" s="45"/>
    </row>
    <row r="783" spans="1:6" ht="12.75" customHeight="1" x14ac:dyDescent="0.2">
      <c r="A783" s="45"/>
      <c r="B783" s="45"/>
      <c r="F783" s="45"/>
    </row>
    <row r="784" spans="1:6" ht="12.75" customHeight="1" x14ac:dyDescent="0.2">
      <c r="A784" s="45"/>
      <c r="B784" s="45"/>
      <c r="F784" s="45"/>
    </row>
    <row r="785" spans="1:6" ht="12.75" customHeight="1" x14ac:dyDescent="0.2">
      <c r="A785" s="45"/>
      <c r="B785" s="45"/>
      <c r="F785" s="45"/>
    </row>
    <row r="786" spans="1:6" ht="12.75" customHeight="1" x14ac:dyDescent="0.2">
      <c r="A786" s="45"/>
      <c r="B786" s="45"/>
      <c r="F786" s="45"/>
    </row>
    <row r="787" spans="1:6" ht="12.75" customHeight="1" x14ac:dyDescent="0.2">
      <c r="A787" s="45"/>
      <c r="B787" s="45"/>
      <c r="F787" s="45"/>
    </row>
    <row r="788" spans="1:6" ht="12.75" customHeight="1" x14ac:dyDescent="0.2">
      <c r="A788" s="45"/>
      <c r="B788" s="45"/>
      <c r="F788" s="45"/>
    </row>
    <row r="789" spans="1:6" ht="12.75" customHeight="1" x14ac:dyDescent="0.2">
      <c r="A789" s="45"/>
      <c r="B789" s="45"/>
      <c r="F789" s="45"/>
    </row>
    <row r="790" spans="1:6" ht="12.75" customHeight="1" x14ac:dyDescent="0.2">
      <c r="A790" s="45"/>
      <c r="B790" s="45"/>
      <c r="F790" s="45"/>
    </row>
    <row r="791" spans="1:6" ht="12.75" customHeight="1" x14ac:dyDescent="0.2">
      <c r="A791" s="45"/>
      <c r="B791" s="45"/>
      <c r="F791" s="45"/>
    </row>
    <row r="792" spans="1:6" ht="12.75" customHeight="1" x14ac:dyDescent="0.2">
      <c r="A792" s="45"/>
      <c r="B792" s="45"/>
      <c r="F792" s="45"/>
    </row>
    <row r="793" spans="1:6" ht="12.75" customHeight="1" x14ac:dyDescent="0.2">
      <c r="A793" s="45"/>
      <c r="B793" s="45"/>
      <c r="F793" s="45"/>
    </row>
    <row r="794" spans="1:6" ht="12.75" customHeight="1" x14ac:dyDescent="0.2">
      <c r="A794" s="45"/>
      <c r="B794" s="45"/>
      <c r="F794" s="45"/>
    </row>
    <row r="795" spans="1:6" ht="12.75" customHeight="1" x14ac:dyDescent="0.2">
      <c r="A795" s="45"/>
      <c r="B795" s="45"/>
      <c r="F795" s="45"/>
    </row>
    <row r="796" spans="1:6" ht="12.75" customHeight="1" x14ac:dyDescent="0.2">
      <c r="A796" s="45"/>
      <c r="B796" s="45"/>
      <c r="F796" s="45"/>
    </row>
    <row r="797" spans="1:6" ht="12.75" customHeight="1" x14ac:dyDescent="0.2">
      <c r="A797" s="45"/>
      <c r="B797" s="45"/>
      <c r="F797" s="45"/>
    </row>
    <row r="798" spans="1:6" ht="12.75" customHeight="1" x14ac:dyDescent="0.2">
      <c r="A798" s="45"/>
      <c r="B798" s="45"/>
      <c r="F798" s="45"/>
    </row>
    <row r="799" spans="1:6" ht="12.75" customHeight="1" x14ac:dyDescent="0.2">
      <c r="A799" s="45"/>
      <c r="B799" s="45"/>
      <c r="F799" s="45"/>
    </row>
    <row r="800" spans="1:6" ht="12.75" customHeight="1" x14ac:dyDescent="0.2">
      <c r="A800" s="45"/>
      <c r="B800" s="45"/>
      <c r="F800" s="45"/>
    </row>
    <row r="801" spans="1:6" ht="12.75" customHeight="1" x14ac:dyDescent="0.2">
      <c r="A801" s="45"/>
      <c r="B801" s="45"/>
      <c r="F801" s="45"/>
    </row>
    <row r="802" spans="1:6" ht="12.75" customHeight="1" x14ac:dyDescent="0.2">
      <c r="A802" s="45"/>
      <c r="B802" s="45"/>
      <c r="F802" s="45"/>
    </row>
    <row r="803" spans="1:6" ht="12.75" customHeight="1" x14ac:dyDescent="0.2">
      <c r="A803" s="45"/>
      <c r="B803" s="45"/>
      <c r="F803" s="45"/>
    </row>
    <row r="804" spans="1:6" ht="12.75" customHeight="1" x14ac:dyDescent="0.2">
      <c r="A804" s="45"/>
      <c r="B804" s="45"/>
      <c r="F804" s="45"/>
    </row>
    <row r="805" spans="1:6" ht="12.75" customHeight="1" x14ac:dyDescent="0.2">
      <c r="A805" s="45"/>
      <c r="B805" s="45"/>
      <c r="F805" s="45"/>
    </row>
    <row r="806" spans="1:6" ht="12.75" customHeight="1" x14ac:dyDescent="0.2">
      <c r="A806" s="45"/>
      <c r="B806" s="45"/>
      <c r="F806" s="45"/>
    </row>
    <row r="807" spans="1:6" ht="12.75" customHeight="1" x14ac:dyDescent="0.2">
      <c r="A807" s="45"/>
      <c r="B807" s="45"/>
      <c r="F807" s="45"/>
    </row>
    <row r="808" spans="1:6" ht="12.75" customHeight="1" x14ac:dyDescent="0.2">
      <c r="A808" s="45"/>
      <c r="B808" s="45"/>
      <c r="F808" s="45"/>
    </row>
    <row r="809" spans="1:6" ht="12.75" customHeight="1" x14ac:dyDescent="0.2">
      <c r="A809" s="45"/>
      <c r="B809" s="45"/>
      <c r="F809" s="45"/>
    </row>
    <row r="810" spans="1:6" ht="12.75" customHeight="1" x14ac:dyDescent="0.2">
      <c r="A810" s="45"/>
      <c r="B810" s="45"/>
      <c r="F810" s="45"/>
    </row>
    <row r="811" spans="1:6" ht="12.75" customHeight="1" x14ac:dyDescent="0.2">
      <c r="A811" s="45"/>
      <c r="B811" s="45"/>
      <c r="F811" s="45"/>
    </row>
    <row r="812" spans="1:6" ht="12.75" customHeight="1" x14ac:dyDescent="0.2">
      <c r="A812" s="45"/>
      <c r="B812" s="45"/>
      <c r="F812" s="45"/>
    </row>
    <row r="813" spans="1:6" ht="12.75" customHeight="1" x14ac:dyDescent="0.2">
      <c r="A813" s="45"/>
      <c r="B813" s="45"/>
      <c r="F813" s="45"/>
    </row>
    <row r="814" spans="1:6" ht="12.75" customHeight="1" x14ac:dyDescent="0.2">
      <c r="A814" s="45"/>
      <c r="B814" s="45"/>
      <c r="F814" s="45"/>
    </row>
    <row r="815" spans="1:6" ht="12.75" customHeight="1" x14ac:dyDescent="0.2">
      <c r="A815" s="45"/>
      <c r="B815" s="45"/>
      <c r="F815" s="45"/>
    </row>
    <row r="816" spans="1:6" ht="12.75" customHeight="1" x14ac:dyDescent="0.2">
      <c r="A816" s="45"/>
      <c r="B816" s="45"/>
      <c r="F816" s="45"/>
    </row>
    <row r="817" spans="1:6" ht="12.75" customHeight="1" x14ac:dyDescent="0.2">
      <c r="A817" s="45"/>
      <c r="B817" s="45"/>
      <c r="F817" s="45"/>
    </row>
    <row r="818" spans="1:6" ht="12.75" customHeight="1" x14ac:dyDescent="0.2">
      <c r="A818" s="45"/>
      <c r="B818" s="45"/>
      <c r="F818" s="45"/>
    </row>
    <row r="819" spans="1:6" ht="12.75" customHeight="1" x14ac:dyDescent="0.2">
      <c r="A819" s="45"/>
      <c r="B819" s="45"/>
      <c r="F819" s="45"/>
    </row>
    <row r="820" spans="1:6" ht="12.75" customHeight="1" x14ac:dyDescent="0.2">
      <c r="A820" s="45"/>
      <c r="B820" s="45"/>
      <c r="F820" s="45"/>
    </row>
    <row r="821" spans="1:6" ht="12.75" customHeight="1" x14ac:dyDescent="0.2">
      <c r="A821" s="45"/>
      <c r="B821" s="45"/>
      <c r="F821" s="45"/>
    </row>
    <row r="822" spans="1:6" ht="12.75" customHeight="1" x14ac:dyDescent="0.2">
      <c r="A822" s="45"/>
      <c r="B822" s="45"/>
      <c r="F822" s="45"/>
    </row>
    <row r="823" spans="1:6" ht="12.75" customHeight="1" x14ac:dyDescent="0.2">
      <c r="A823" s="45"/>
      <c r="B823" s="45"/>
      <c r="F823" s="45"/>
    </row>
    <row r="824" spans="1:6" ht="12.75" customHeight="1" x14ac:dyDescent="0.2">
      <c r="A824" s="45"/>
      <c r="B824" s="45"/>
      <c r="F824" s="45"/>
    </row>
    <row r="825" spans="1:6" ht="12.75" customHeight="1" x14ac:dyDescent="0.2">
      <c r="A825" s="45"/>
      <c r="B825" s="45"/>
      <c r="F825" s="45"/>
    </row>
    <row r="826" spans="1:6" ht="12.75" customHeight="1" x14ac:dyDescent="0.2">
      <c r="A826" s="45"/>
      <c r="B826" s="45"/>
      <c r="F826" s="45"/>
    </row>
    <row r="827" spans="1:6" ht="12.75" customHeight="1" x14ac:dyDescent="0.2">
      <c r="A827" s="45"/>
      <c r="B827" s="45"/>
      <c r="F827" s="45"/>
    </row>
    <row r="828" spans="1:6" ht="12.75" customHeight="1" x14ac:dyDescent="0.2">
      <c r="A828" s="45"/>
      <c r="B828" s="45"/>
      <c r="F828" s="45"/>
    </row>
    <row r="829" spans="1:6" ht="12.75" customHeight="1" x14ac:dyDescent="0.2">
      <c r="A829" s="45"/>
      <c r="B829" s="45"/>
      <c r="F829" s="45"/>
    </row>
    <row r="830" spans="1:6" ht="12.75" customHeight="1" x14ac:dyDescent="0.2">
      <c r="A830" s="45"/>
      <c r="B830" s="45"/>
      <c r="F830" s="45"/>
    </row>
    <row r="831" spans="1:6" ht="12.75" customHeight="1" x14ac:dyDescent="0.2">
      <c r="A831" s="45"/>
      <c r="B831" s="45"/>
      <c r="F831" s="45"/>
    </row>
    <row r="832" spans="1:6" ht="12.75" customHeight="1" x14ac:dyDescent="0.2">
      <c r="A832" s="45"/>
      <c r="B832" s="45"/>
      <c r="F832" s="45"/>
    </row>
    <row r="833" spans="1:6" ht="12.75" customHeight="1" x14ac:dyDescent="0.2">
      <c r="A833" s="45"/>
      <c r="B833" s="45"/>
      <c r="F833" s="45"/>
    </row>
    <row r="834" spans="1:6" ht="12.75" customHeight="1" x14ac:dyDescent="0.2">
      <c r="A834" s="45"/>
      <c r="B834" s="45"/>
      <c r="F834" s="45"/>
    </row>
    <row r="835" spans="1:6" ht="12.75" customHeight="1" x14ac:dyDescent="0.2">
      <c r="A835" s="45"/>
      <c r="B835" s="45"/>
      <c r="F835" s="45"/>
    </row>
    <row r="836" spans="1:6" ht="12.75" customHeight="1" x14ac:dyDescent="0.2">
      <c r="A836" s="45"/>
      <c r="B836" s="45"/>
      <c r="F836" s="45"/>
    </row>
    <row r="837" spans="1:6" ht="12.75" customHeight="1" x14ac:dyDescent="0.2">
      <c r="A837" s="45"/>
      <c r="B837" s="45"/>
      <c r="F837" s="45"/>
    </row>
    <row r="838" spans="1:6" ht="12.75" customHeight="1" x14ac:dyDescent="0.2">
      <c r="A838" s="45"/>
      <c r="B838" s="45"/>
      <c r="F838" s="45"/>
    </row>
    <row r="839" spans="1:6" ht="12.75" customHeight="1" x14ac:dyDescent="0.2">
      <c r="A839" s="45"/>
      <c r="B839" s="45"/>
      <c r="F839" s="45"/>
    </row>
    <row r="840" spans="1:6" ht="12.75" customHeight="1" x14ac:dyDescent="0.2">
      <c r="A840" s="45"/>
      <c r="B840" s="45"/>
      <c r="F840" s="45"/>
    </row>
    <row r="841" spans="1:6" ht="12.75" customHeight="1" x14ac:dyDescent="0.2">
      <c r="A841" s="45"/>
      <c r="B841" s="45"/>
      <c r="F841" s="45"/>
    </row>
    <row r="842" spans="1:6" ht="12.75" customHeight="1" x14ac:dyDescent="0.2">
      <c r="A842" s="45"/>
      <c r="B842" s="45"/>
      <c r="F842" s="45"/>
    </row>
    <row r="843" spans="1:6" ht="12.75" customHeight="1" x14ac:dyDescent="0.2">
      <c r="A843" s="45"/>
      <c r="B843" s="45"/>
      <c r="F843" s="45"/>
    </row>
    <row r="844" spans="1:6" ht="12.75" customHeight="1" x14ac:dyDescent="0.2">
      <c r="A844" s="45"/>
      <c r="B844" s="45"/>
      <c r="F844" s="45"/>
    </row>
    <row r="845" spans="1:6" ht="12.75" customHeight="1" x14ac:dyDescent="0.2">
      <c r="A845" s="45"/>
      <c r="B845" s="45"/>
      <c r="F845" s="45"/>
    </row>
    <row r="846" spans="1:6" ht="12.75" customHeight="1" x14ac:dyDescent="0.2">
      <c r="A846" s="45"/>
      <c r="B846" s="45"/>
      <c r="F846" s="45"/>
    </row>
    <row r="847" spans="1:6" ht="12.75" customHeight="1" x14ac:dyDescent="0.2">
      <c r="A847" s="45"/>
      <c r="B847" s="45"/>
      <c r="F847" s="45"/>
    </row>
    <row r="848" spans="1:6" ht="12.75" customHeight="1" x14ac:dyDescent="0.2">
      <c r="A848" s="45"/>
      <c r="B848" s="45"/>
      <c r="F848" s="45"/>
    </row>
    <row r="849" spans="1:6" ht="12.75" customHeight="1" x14ac:dyDescent="0.2">
      <c r="A849" s="45"/>
      <c r="B849" s="45"/>
      <c r="F849" s="45"/>
    </row>
    <row r="850" spans="1:6" ht="12.75" customHeight="1" x14ac:dyDescent="0.2">
      <c r="A850" s="45"/>
      <c r="B850" s="45"/>
      <c r="F850" s="45"/>
    </row>
    <row r="851" spans="1:6" ht="12.75" customHeight="1" x14ac:dyDescent="0.2">
      <c r="A851" s="45"/>
      <c r="B851" s="45"/>
      <c r="F851" s="45"/>
    </row>
    <row r="852" spans="1:6" ht="12.75" customHeight="1" x14ac:dyDescent="0.2">
      <c r="A852" s="45"/>
      <c r="B852" s="45"/>
      <c r="F852" s="45"/>
    </row>
    <row r="853" spans="1:6" ht="12.75" customHeight="1" x14ac:dyDescent="0.2">
      <c r="A853" s="45"/>
      <c r="B853" s="45"/>
      <c r="F853" s="45"/>
    </row>
    <row r="854" spans="1:6" ht="12.75" customHeight="1" x14ac:dyDescent="0.2">
      <c r="A854" s="45"/>
      <c r="B854" s="45"/>
      <c r="F854" s="45"/>
    </row>
    <row r="855" spans="1:6" ht="12.75" customHeight="1" x14ac:dyDescent="0.2">
      <c r="A855" s="45"/>
      <c r="B855" s="45"/>
      <c r="F855" s="45"/>
    </row>
    <row r="856" spans="1:6" ht="12.75" customHeight="1" x14ac:dyDescent="0.2">
      <c r="A856" s="45"/>
      <c r="B856" s="45"/>
      <c r="F856" s="45"/>
    </row>
    <row r="857" spans="1:6" ht="12.75" customHeight="1" x14ac:dyDescent="0.2">
      <c r="A857" s="45"/>
      <c r="B857" s="45"/>
      <c r="F857" s="45"/>
    </row>
    <row r="858" spans="1:6" ht="12.75" customHeight="1" x14ac:dyDescent="0.2">
      <c r="A858" s="45"/>
      <c r="B858" s="45"/>
      <c r="F858" s="45"/>
    </row>
    <row r="859" spans="1:6" ht="12.75" customHeight="1" x14ac:dyDescent="0.2">
      <c r="A859" s="45"/>
      <c r="B859" s="45"/>
      <c r="F859" s="45"/>
    </row>
    <row r="860" spans="1:6" ht="12.75" customHeight="1" x14ac:dyDescent="0.2">
      <c r="A860" s="45"/>
      <c r="B860" s="45"/>
      <c r="F860" s="45"/>
    </row>
    <row r="861" spans="1:6" ht="12.75" customHeight="1" x14ac:dyDescent="0.2">
      <c r="A861" s="45"/>
      <c r="B861" s="45"/>
      <c r="F861" s="45"/>
    </row>
    <row r="862" spans="1:6" ht="12.75" customHeight="1" x14ac:dyDescent="0.2">
      <c r="A862" s="45"/>
      <c r="B862" s="45"/>
      <c r="F862" s="45"/>
    </row>
    <row r="863" spans="1:6" ht="12.75" customHeight="1" x14ac:dyDescent="0.2">
      <c r="A863" s="45"/>
      <c r="B863" s="45"/>
      <c r="F863" s="45"/>
    </row>
    <row r="864" spans="1:6" ht="12.75" customHeight="1" x14ac:dyDescent="0.2">
      <c r="A864" s="45"/>
      <c r="B864" s="45"/>
      <c r="F864" s="45"/>
    </row>
    <row r="865" spans="1:6" ht="12.75" customHeight="1" x14ac:dyDescent="0.2">
      <c r="A865" s="45"/>
      <c r="B865" s="45"/>
      <c r="F865" s="45"/>
    </row>
    <row r="866" spans="1:6" ht="12.75" customHeight="1" x14ac:dyDescent="0.2">
      <c r="A866" s="45"/>
      <c r="B866" s="45"/>
      <c r="F866" s="45"/>
    </row>
    <row r="867" spans="1:6" ht="12.75" customHeight="1" x14ac:dyDescent="0.2">
      <c r="A867" s="45"/>
      <c r="B867" s="45"/>
      <c r="F867" s="45"/>
    </row>
    <row r="868" spans="1:6" ht="12.75" customHeight="1" x14ac:dyDescent="0.2">
      <c r="A868" s="45"/>
      <c r="B868" s="45"/>
      <c r="F868" s="45"/>
    </row>
    <row r="869" spans="1:6" ht="12.75" customHeight="1" x14ac:dyDescent="0.2">
      <c r="A869" s="45"/>
      <c r="B869" s="45"/>
      <c r="F869" s="45"/>
    </row>
    <row r="870" spans="1:6" ht="12.75" customHeight="1" x14ac:dyDescent="0.2">
      <c r="A870" s="45"/>
      <c r="B870" s="45"/>
      <c r="F870" s="45"/>
    </row>
    <row r="871" spans="1:6" ht="12.75" customHeight="1" x14ac:dyDescent="0.2">
      <c r="A871" s="45"/>
      <c r="B871" s="45"/>
      <c r="F871" s="45"/>
    </row>
    <row r="872" spans="1:6" ht="12.75" customHeight="1" x14ac:dyDescent="0.2">
      <c r="A872" s="45"/>
      <c r="B872" s="45"/>
      <c r="F872" s="45"/>
    </row>
    <row r="873" spans="1:6" ht="12.75" customHeight="1" x14ac:dyDescent="0.2">
      <c r="A873" s="45"/>
      <c r="B873" s="45"/>
      <c r="F873" s="45"/>
    </row>
    <row r="874" spans="1:6" ht="12.75" customHeight="1" x14ac:dyDescent="0.2">
      <c r="A874" s="45"/>
      <c r="B874" s="45"/>
      <c r="F874" s="45"/>
    </row>
    <row r="875" spans="1:6" ht="12.75" customHeight="1" x14ac:dyDescent="0.2">
      <c r="A875" s="45"/>
      <c r="B875" s="45"/>
      <c r="F875" s="45"/>
    </row>
    <row r="876" spans="1:6" ht="12.75" customHeight="1" x14ac:dyDescent="0.2">
      <c r="A876" s="45"/>
      <c r="B876" s="45"/>
      <c r="F876" s="45"/>
    </row>
    <row r="877" spans="1:6" ht="12.75" customHeight="1" x14ac:dyDescent="0.2">
      <c r="A877" s="45"/>
      <c r="B877" s="45"/>
      <c r="F877" s="45"/>
    </row>
    <row r="878" spans="1:6" ht="12.75" customHeight="1" x14ac:dyDescent="0.2">
      <c r="A878" s="45"/>
      <c r="B878" s="45"/>
      <c r="F878" s="45"/>
    </row>
    <row r="879" spans="1:6" ht="12.75" customHeight="1" x14ac:dyDescent="0.2">
      <c r="A879" s="45"/>
      <c r="B879" s="45"/>
      <c r="F879" s="45"/>
    </row>
    <row r="880" spans="1:6" ht="12.75" customHeight="1" x14ac:dyDescent="0.2">
      <c r="A880" s="45"/>
      <c r="B880" s="45"/>
      <c r="F880" s="45"/>
    </row>
    <row r="881" spans="1:6" ht="12.75" customHeight="1" x14ac:dyDescent="0.2">
      <c r="A881" s="45"/>
      <c r="B881" s="45"/>
      <c r="F881" s="45"/>
    </row>
    <row r="882" spans="1:6" ht="12.75" customHeight="1" x14ac:dyDescent="0.2">
      <c r="A882" s="45"/>
      <c r="B882" s="45"/>
      <c r="F882" s="45"/>
    </row>
    <row r="883" spans="1:6" ht="12.75" customHeight="1" x14ac:dyDescent="0.2">
      <c r="A883" s="45"/>
      <c r="B883" s="45"/>
      <c r="F883" s="45"/>
    </row>
    <row r="884" spans="1:6" ht="12.75" customHeight="1" x14ac:dyDescent="0.2">
      <c r="A884" s="45"/>
      <c r="B884" s="45"/>
      <c r="F884" s="45"/>
    </row>
    <row r="885" spans="1:6" ht="12.75" customHeight="1" x14ac:dyDescent="0.2">
      <c r="A885" s="45"/>
      <c r="B885" s="45"/>
      <c r="F885" s="45"/>
    </row>
    <row r="886" spans="1:6" ht="12.75" customHeight="1" x14ac:dyDescent="0.2">
      <c r="A886" s="45"/>
      <c r="B886" s="45"/>
      <c r="F886" s="45"/>
    </row>
    <row r="887" spans="1:6" ht="12.75" customHeight="1" x14ac:dyDescent="0.2">
      <c r="A887" s="45"/>
      <c r="B887" s="45"/>
      <c r="F887" s="45"/>
    </row>
    <row r="888" spans="1:6" ht="12.75" customHeight="1" x14ac:dyDescent="0.2">
      <c r="A888" s="45"/>
      <c r="B888" s="45"/>
      <c r="F888" s="45"/>
    </row>
    <row r="889" spans="1:6" ht="12.75" customHeight="1" x14ac:dyDescent="0.2">
      <c r="A889" s="45"/>
      <c r="B889" s="45"/>
      <c r="F889" s="45"/>
    </row>
    <row r="890" spans="1:6" ht="12.75" customHeight="1" x14ac:dyDescent="0.2">
      <c r="A890" s="45"/>
      <c r="B890" s="45"/>
      <c r="F890" s="45"/>
    </row>
    <row r="891" spans="1:6" ht="12.75" customHeight="1" x14ac:dyDescent="0.2">
      <c r="A891" s="45"/>
      <c r="B891" s="45"/>
      <c r="F891" s="45"/>
    </row>
    <row r="892" spans="1:6" ht="12.75" customHeight="1" x14ac:dyDescent="0.2">
      <c r="A892" s="45"/>
      <c r="B892" s="45"/>
      <c r="F892" s="45"/>
    </row>
    <row r="893" spans="1:6" ht="12.75" customHeight="1" x14ac:dyDescent="0.2">
      <c r="A893" s="45"/>
      <c r="B893" s="45"/>
      <c r="F893" s="45"/>
    </row>
    <row r="894" spans="1:6" ht="12.75" customHeight="1" x14ac:dyDescent="0.2">
      <c r="A894" s="45"/>
      <c r="B894" s="45"/>
      <c r="F894" s="45"/>
    </row>
    <row r="895" spans="1:6" ht="12.75" customHeight="1" x14ac:dyDescent="0.2">
      <c r="A895" s="45"/>
      <c r="B895" s="45"/>
      <c r="F895" s="45"/>
    </row>
    <row r="896" spans="1:6" ht="12.75" customHeight="1" x14ac:dyDescent="0.2">
      <c r="A896" s="45"/>
      <c r="B896" s="45"/>
      <c r="F896" s="45"/>
    </row>
    <row r="897" spans="1:6" ht="12.75" customHeight="1" x14ac:dyDescent="0.2">
      <c r="A897" s="45"/>
      <c r="B897" s="45"/>
      <c r="F897" s="45"/>
    </row>
    <row r="898" spans="1:6" ht="12.75" customHeight="1" x14ac:dyDescent="0.2">
      <c r="A898" s="45"/>
      <c r="B898" s="45"/>
      <c r="F898" s="45"/>
    </row>
    <row r="899" spans="1:6" ht="12.75" customHeight="1" x14ac:dyDescent="0.2">
      <c r="A899" s="45"/>
      <c r="B899" s="45"/>
      <c r="F899" s="45"/>
    </row>
    <row r="900" spans="1:6" ht="12.75" customHeight="1" x14ac:dyDescent="0.2">
      <c r="A900" s="45"/>
      <c r="B900" s="45"/>
      <c r="F900" s="45"/>
    </row>
    <row r="901" spans="1:6" ht="12.75" customHeight="1" x14ac:dyDescent="0.2">
      <c r="A901" s="45"/>
      <c r="B901" s="45"/>
      <c r="F901" s="45"/>
    </row>
    <row r="902" spans="1:6" ht="12.75" customHeight="1" x14ac:dyDescent="0.2">
      <c r="A902" s="45"/>
      <c r="B902" s="45"/>
      <c r="F902" s="45"/>
    </row>
    <row r="903" spans="1:6" ht="12.75" customHeight="1" x14ac:dyDescent="0.2">
      <c r="A903" s="45"/>
      <c r="B903" s="45"/>
      <c r="F903" s="45"/>
    </row>
    <row r="904" spans="1:6" ht="12.75" customHeight="1" x14ac:dyDescent="0.2">
      <c r="A904" s="45"/>
      <c r="B904" s="45"/>
      <c r="F904" s="45"/>
    </row>
    <row r="905" spans="1:6" ht="12.75" customHeight="1" x14ac:dyDescent="0.2">
      <c r="A905" s="45"/>
      <c r="B905" s="45"/>
      <c r="F905" s="45"/>
    </row>
    <row r="906" spans="1:6" ht="12.75" customHeight="1" x14ac:dyDescent="0.2">
      <c r="A906" s="45"/>
      <c r="B906" s="45"/>
      <c r="F906" s="45"/>
    </row>
    <row r="907" spans="1:6" ht="12.75" customHeight="1" x14ac:dyDescent="0.2">
      <c r="A907" s="45"/>
      <c r="B907" s="45"/>
      <c r="F907" s="45"/>
    </row>
    <row r="908" spans="1:6" ht="12.75" customHeight="1" x14ac:dyDescent="0.2">
      <c r="A908" s="45"/>
      <c r="B908" s="45"/>
      <c r="F908" s="45"/>
    </row>
    <row r="909" spans="1:6" ht="12.75" customHeight="1" x14ac:dyDescent="0.2">
      <c r="A909" s="45"/>
      <c r="B909" s="45"/>
      <c r="F909" s="45"/>
    </row>
    <row r="910" spans="1:6" ht="12.75" customHeight="1" x14ac:dyDescent="0.2">
      <c r="A910" s="45"/>
      <c r="B910" s="45"/>
      <c r="F910" s="45"/>
    </row>
    <row r="911" spans="1:6" ht="12.75" customHeight="1" x14ac:dyDescent="0.2">
      <c r="A911" s="45"/>
      <c r="B911" s="45"/>
      <c r="F911" s="45"/>
    </row>
    <row r="912" spans="1:6" ht="12.75" customHeight="1" x14ac:dyDescent="0.2">
      <c r="A912" s="45"/>
      <c r="B912" s="45"/>
      <c r="F912" s="45"/>
    </row>
    <row r="913" spans="1:6" ht="12.75" customHeight="1" x14ac:dyDescent="0.2">
      <c r="A913" s="45"/>
      <c r="B913" s="45"/>
      <c r="F913" s="45"/>
    </row>
    <row r="914" spans="1:6" ht="12.75" customHeight="1" x14ac:dyDescent="0.2">
      <c r="A914" s="45"/>
      <c r="B914" s="45"/>
      <c r="F914" s="45"/>
    </row>
    <row r="915" spans="1:6" ht="12.75" customHeight="1" x14ac:dyDescent="0.2">
      <c r="A915" s="45"/>
      <c r="B915" s="45"/>
      <c r="F915" s="45"/>
    </row>
    <row r="916" spans="1:6" ht="12.75" customHeight="1" x14ac:dyDescent="0.2">
      <c r="A916" s="45"/>
      <c r="B916" s="45"/>
      <c r="F916" s="45"/>
    </row>
    <row r="917" spans="1:6" ht="12.75" customHeight="1" x14ac:dyDescent="0.2">
      <c r="A917" s="45"/>
      <c r="B917" s="45"/>
      <c r="F917" s="45"/>
    </row>
    <row r="918" spans="1:6" ht="12.75" customHeight="1" x14ac:dyDescent="0.2">
      <c r="A918" s="45"/>
      <c r="B918" s="45"/>
      <c r="F918" s="45"/>
    </row>
    <row r="919" spans="1:6" ht="12.75" customHeight="1" x14ac:dyDescent="0.2">
      <c r="A919" s="45"/>
      <c r="B919" s="45"/>
      <c r="F919" s="45"/>
    </row>
    <row r="920" spans="1:6" ht="12.75" customHeight="1" x14ac:dyDescent="0.2">
      <c r="A920" s="45"/>
      <c r="B920" s="45"/>
      <c r="F920" s="45"/>
    </row>
    <row r="921" spans="1:6" ht="12.75" customHeight="1" x14ac:dyDescent="0.2">
      <c r="A921" s="45"/>
      <c r="B921" s="45"/>
      <c r="F921" s="45"/>
    </row>
    <row r="922" spans="1:6" ht="12.75" customHeight="1" x14ac:dyDescent="0.2">
      <c r="A922" s="45"/>
      <c r="B922" s="45"/>
      <c r="F922" s="45"/>
    </row>
    <row r="923" spans="1:6" ht="12.75" customHeight="1" x14ac:dyDescent="0.2">
      <c r="A923" s="45"/>
      <c r="B923" s="45"/>
      <c r="F923" s="45"/>
    </row>
    <row r="924" spans="1:6" ht="12.75" customHeight="1" x14ac:dyDescent="0.2">
      <c r="A924" s="45"/>
      <c r="B924" s="45"/>
      <c r="F924" s="45"/>
    </row>
    <row r="925" spans="1:6" ht="12.75" customHeight="1" x14ac:dyDescent="0.2">
      <c r="A925" s="45"/>
      <c r="B925" s="45"/>
      <c r="F925" s="45"/>
    </row>
    <row r="926" spans="1:6" ht="12.75" customHeight="1" x14ac:dyDescent="0.2">
      <c r="A926" s="45"/>
      <c r="B926" s="45"/>
      <c r="F926" s="45"/>
    </row>
    <row r="927" spans="1:6" ht="12.75" customHeight="1" x14ac:dyDescent="0.2">
      <c r="A927" s="45"/>
      <c r="B927" s="45"/>
      <c r="F927" s="45"/>
    </row>
    <row r="928" spans="1:6" ht="12.75" customHeight="1" x14ac:dyDescent="0.2">
      <c r="A928" s="45"/>
      <c r="B928" s="45"/>
      <c r="F928" s="45"/>
    </row>
    <row r="929" spans="1:6" ht="12.75" customHeight="1" x14ac:dyDescent="0.2">
      <c r="A929" s="45"/>
      <c r="B929" s="45"/>
      <c r="F929" s="45"/>
    </row>
    <row r="930" spans="1:6" ht="12.75" customHeight="1" x14ac:dyDescent="0.2">
      <c r="A930" s="45"/>
      <c r="B930" s="45"/>
      <c r="F930" s="45"/>
    </row>
    <row r="931" spans="1:6" ht="12.75" customHeight="1" x14ac:dyDescent="0.2">
      <c r="A931" s="45"/>
      <c r="B931" s="45"/>
      <c r="F931" s="45"/>
    </row>
    <row r="932" spans="1:6" ht="12.75" customHeight="1" x14ac:dyDescent="0.2">
      <c r="A932" s="45"/>
      <c r="B932" s="45"/>
      <c r="F932" s="45"/>
    </row>
    <row r="933" spans="1:6" ht="12.75" customHeight="1" x14ac:dyDescent="0.2">
      <c r="A933" s="45"/>
      <c r="B933" s="45"/>
      <c r="F933" s="45"/>
    </row>
    <row r="934" spans="1:6" ht="12.75" customHeight="1" x14ac:dyDescent="0.2">
      <c r="A934" s="45"/>
      <c r="B934" s="45"/>
      <c r="F934" s="45"/>
    </row>
    <row r="935" spans="1:6" ht="12.75" customHeight="1" x14ac:dyDescent="0.2">
      <c r="A935" s="45"/>
      <c r="B935" s="45"/>
      <c r="F935" s="45"/>
    </row>
    <row r="936" spans="1:6" ht="12.75" customHeight="1" x14ac:dyDescent="0.2">
      <c r="A936" s="45"/>
      <c r="B936" s="45"/>
      <c r="F936" s="45"/>
    </row>
    <row r="937" spans="1:6" ht="12.75" customHeight="1" x14ac:dyDescent="0.2">
      <c r="A937" s="45"/>
      <c r="B937" s="45"/>
      <c r="F937" s="45"/>
    </row>
    <row r="938" spans="1:6" ht="12.75" customHeight="1" x14ac:dyDescent="0.2">
      <c r="A938" s="45"/>
      <c r="B938" s="45"/>
      <c r="F938" s="45"/>
    </row>
    <row r="939" spans="1:6" ht="12.75" customHeight="1" x14ac:dyDescent="0.2">
      <c r="A939" s="45"/>
      <c r="B939" s="45"/>
      <c r="F939" s="45"/>
    </row>
    <row r="940" spans="1:6" ht="12.75" customHeight="1" x14ac:dyDescent="0.2">
      <c r="A940" s="45"/>
      <c r="B940" s="45"/>
      <c r="F940" s="45"/>
    </row>
    <row r="941" spans="1:6" ht="15" customHeight="1" x14ac:dyDescent="0.2"/>
  </sheetData>
  <mergeCells count="25">
    <mergeCell ref="C1:AB2"/>
    <mergeCell ref="A7:AC7"/>
    <mergeCell ref="A8:A9"/>
    <mergeCell ref="B8:B9"/>
    <mergeCell ref="A5:AC5"/>
    <mergeCell ref="F6:AC6"/>
    <mergeCell ref="I8:I9"/>
    <mergeCell ref="J8:L8"/>
    <mergeCell ref="M8:S8"/>
    <mergeCell ref="A10:A17"/>
    <mergeCell ref="AC1:AC2"/>
    <mergeCell ref="C3:AB4"/>
    <mergeCell ref="AC3:AC4"/>
    <mergeCell ref="X8:AC8"/>
    <mergeCell ref="A6:E6"/>
    <mergeCell ref="U8:W8"/>
    <mergeCell ref="D8:D9"/>
    <mergeCell ref="E8:E9"/>
    <mergeCell ref="A1:B4"/>
    <mergeCell ref="B17:E17"/>
    <mergeCell ref="C8:C9"/>
    <mergeCell ref="F8:F9"/>
    <mergeCell ref="G8:H8"/>
    <mergeCell ref="B16:E16"/>
    <mergeCell ref="B10:B15"/>
  </mergeCells>
  <conditionalFormatting sqref="M10:M17">
    <cfRule type="cellIs" dxfId="182" priority="13" stopIfTrue="1" operator="equal">
      <formula>10</formula>
    </cfRule>
    <cfRule type="cellIs" dxfId="181" priority="14" stopIfTrue="1" operator="equal">
      <formula>6</formula>
    </cfRule>
    <cfRule type="cellIs" dxfId="180" priority="15" stopIfTrue="1" operator="equal">
      <formula>2</formula>
    </cfRule>
    <cfRule type="cellIs" dxfId="179" priority="16" stopIfTrue="1" operator="equal">
      <formula>0</formula>
    </cfRule>
  </conditionalFormatting>
  <conditionalFormatting sqref="N10:N17">
    <cfRule type="cellIs" dxfId="178" priority="17" stopIfTrue="1" operator="equal">
      <formula>4</formula>
    </cfRule>
    <cfRule type="cellIs" dxfId="177" priority="18" stopIfTrue="1" operator="equal">
      <formula>3</formula>
    </cfRule>
    <cfRule type="cellIs" dxfId="176" priority="19" stopIfTrue="1" operator="equal">
      <formula>2</formula>
    </cfRule>
    <cfRule type="cellIs" dxfId="175" priority="20" stopIfTrue="1" operator="equal">
      <formula>1</formula>
    </cfRule>
  </conditionalFormatting>
  <conditionalFormatting sqref="O10:O17">
    <cfRule type="cellIs" dxfId="174" priority="1" stopIfTrue="1" operator="between">
      <formula>24</formula>
      <formula>40</formula>
    </cfRule>
    <cfRule type="cellIs" dxfId="173" priority="2" stopIfTrue="1" operator="between">
      <formula>10</formula>
      <formula>20</formula>
    </cfRule>
    <cfRule type="cellIs" dxfId="172" priority="3" stopIfTrue="1" operator="between">
      <formula>6</formula>
      <formula>8</formula>
    </cfRule>
    <cfRule type="cellIs" dxfId="171" priority="4" stopIfTrue="1" operator="between">
      <formula>2</formula>
      <formula>4</formula>
    </cfRule>
  </conditionalFormatting>
  <conditionalFormatting sqref="P10:P17">
    <cfRule type="expression" dxfId="170" priority="25" stopIfTrue="1">
      <formula>LEFT(P10,LEN("MUY ALTO"))="MUY ALTO"</formula>
    </cfRule>
    <cfRule type="expression" dxfId="169" priority="26" stopIfTrue="1">
      <formula>LEFT(P10,LEN("ALTO"))="ALTO"</formula>
    </cfRule>
    <cfRule type="expression" dxfId="168" priority="27" stopIfTrue="1">
      <formula>LEFT(P10,LEN("MEDIO"))="MEDIO"</formula>
    </cfRule>
  </conditionalFormatting>
  <conditionalFormatting sqref="Q10:Q17">
    <cfRule type="cellIs" dxfId="167" priority="5" stopIfTrue="1" operator="greaterThanOrEqual">
      <formula>100</formula>
    </cfRule>
    <cfRule type="cellIs" dxfId="166" priority="6" stopIfTrue="1" operator="between">
      <formula>60</formula>
      <formula>99</formula>
    </cfRule>
    <cfRule type="cellIs" dxfId="165" priority="7" stopIfTrue="1" operator="between">
      <formula>25</formula>
      <formula>59</formula>
    </cfRule>
    <cfRule type="cellIs" dxfId="164" priority="8" stopIfTrue="1" operator="between">
      <formula>0</formula>
      <formula>10</formula>
    </cfRule>
  </conditionalFormatting>
  <conditionalFormatting sqref="R10:R17">
    <cfRule type="cellIs" dxfId="163" priority="9" stopIfTrue="1" operator="between">
      <formula>600</formula>
      <formula>4000</formula>
    </cfRule>
    <cfRule type="cellIs" dxfId="162" priority="10" stopIfTrue="1" operator="between">
      <formula>150</formula>
      <formula>500</formula>
    </cfRule>
    <cfRule type="cellIs" dxfId="161" priority="11" stopIfTrue="1" operator="between">
      <formula>40</formula>
      <formula>120</formula>
    </cfRule>
    <cfRule type="cellIs" dxfId="160" priority="12" stopIfTrue="1" operator="between">
      <formula>0</formula>
      <formula>20</formula>
    </cfRule>
  </conditionalFormatting>
  <conditionalFormatting sqref="S10:S17">
    <cfRule type="expression" dxfId="159" priority="28" stopIfTrue="1">
      <formula>LEFT(S10,LEN("Situación"))="Situación"</formula>
    </cfRule>
    <cfRule type="expression" dxfId="158" priority="29" stopIfTrue="1">
      <formula>LEFT(S10,LEN("Corregir"))="Corregir"</formula>
    </cfRule>
    <cfRule type="expression" dxfId="157" priority="30" stopIfTrue="1">
      <formula>LEFT(S10,LEN("Mejorar"))="Mejorar"</formula>
    </cfRule>
  </conditionalFormatting>
  <conditionalFormatting sqref="T10:T17">
    <cfRule type="containsText" dxfId="156" priority="21" stopIfTrue="1" operator="containsText" text="NO ACEPTABLE: Situación Crítica, corrección urgente">
      <formula>NOT(ISERROR(SEARCH(("NO ACEPTABLE: Situación Crítica, corrección urgente"),(T10))))</formula>
    </cfRule>
    <cfRule type="containsText" dxfId="155" priority="22" stopIfTrue="1" operator="containsText" text="NO ACEPTABLE O ACEPTABLE CON CONTROL ESPECÍFICO: Corregir o adoptar medidas de control">
      <formula>NOT(ISERROR(SEARCH(("NO ACEPTABLE O ACEPTABLE CON CONTROL ESPECÍFICO: Corregir o adoptar medidas de control"),(T10))))</formula>
    </cfRule>
    <cfRule type="containsText" dxfId="154" priority="23" stopIfTrue="1" operator="containsText" text="MEJORABLE: Mejorar el control existente">
      <formula>NOT(ISERROR(SEARCH(("MEJORABLE: Mejorar el control existente"),(T10))))</formula>
    </cfRule>
    <cfRule type="containsText" dxfId="153" priority="24" stopIfTrue="1" operator="containsText" text="ACEPTABLE: No intervenir, Salvo que un análisis más preciso lo justifique">
      <formula>NOT(ISERROR(SEARCH(("ACEPTABLE: No intervenir, Salvo que un análisis más preciso lo justifique"),(T10))))</formula>
    </cfRule>
  </conditionalFormatting>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5" tint="-0.249977111117893"/>
  </sheetPr>
  <dimension ref="A1:AK961"/>
  <sheetViews>
    <sheetView zoomScale="75" zoomScaleNormal="75" workbookViewId="0">
      <selection activeCell="E10" sqref="E10"/>
    </sheetView>
  </sheetViews>
  <sheetFormatPr baseColWidth="10" defaultColWidth="14.42578125" defaultRowHeight="15" x14ac:dyDescent="0.2"/>
  <cols>
    <col min="1" max="1" width="13.140625" style="65" customWidth="1"/>
    <col min="2" max="2" width="15.7109375" style="65" customWidth="1"/>
    <col min="3" max="3" width="13.5703125" style="65" customWidth="1"/>
    <col min="4" max="4" width="18.140625" style="54" customWidth="1"/>
    <col min="5" max="5" width="19.28515625" style="54" customWidth="1"/>
    <col min="6" max="6" width="13.5703125" style="54" customWidth="1"/>
    <col min="7" max="7" width="34.42578125" style="54" customWidth="1"/>
    <col min="8" max="8" width="39.140625" style="54" customWidth="1"/>
    <col min="9" max="9" width="32.28515625" style="54" customWidth="1"/>
    <col min="10" max="10" width="32.5703125" style="54" customWidth="1"/>
    <col min="11" max="11" width="15.5703125" style="54" customWidth="1"/>
    <col min="12" max="12" width="18.140625" style="54" customWidth="1"/>
    <col min="13" max="13" width="3" style="54" customWidth="1"/>
    <col min="14" max="14" width="4.7109375" style="54" customWidth="1"/>
    <col min="15" max="15" width="4" style="54" customWidth="1"/>
    <col min="16" max="16" width="27.7109375" style="54" customWidth="1"/>
    <col min="17" max="17" width="6.28515625" style="54" customWidth="1"/>
    <col min="18" max="18" width="6.7109375" style="54" customWidth="1"/>
    <col min="19" max="19" width="28.7109375" style="54" customWidth="1"/>
    <col min="20" max="20" width="14.140625" style="54" customWidth="1"/>
    <col min="21" max="21" width="9.7109375" style="54" customWidth="1"/>
    <col min="22" max="22" width="17.28515625" style="54" customWidth="1"/>
    <col min="23" max="23" width="19.5703125" style="54" customWidth="1"/>
    <col min="24" max="24" width="13.5703125" style="54" customWidth="1"/>
    <col min="25" max="25" width="14.42578125" style="54"/>
    <col min="26" max="26" width="30.28515625" style="54" customWidth="1"/>
    <col min="27" max="28" width="27" style="54" customWidth="1"/>
    <col min="29" max="29" width="25" style="54" customWidth="1"/>
    <col min="30" max="30" width="34.85546875" style="54" customWidth="1"/>
    <col min="31" max="37" width="10.7109375" style="54" customWidth="1"/>
    <col min="38" max="16384" width="14.42578125" style="54"/>
  </cols>
  <sheetData>
    <row r="1" spans="1:37" s="52" customFormat="1" ht="24.75" customHeight="1" thickTop="1" thickBot="1" x14ac:dyDescent="0.25">
      <c r="A1" s="221"/>
      <c r="B1" s="221"/>
      <c r="C1" s="222" t="str">
        <f>+ADMINISTRACIÓN!C1</f>
        <v>CONJUNTO RESIDENCIAL ABEDUL - PH</v>
      </c>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t="s">
        <v>585</v>
      </c>
      <c r="AD1" s="51"/>
      <c r="AE1" s="51"/>
      <c r="AF1" s="51"/>
      <c r="AG1" s="51"/>
      <c r="AH1" s="51"/>
      <c r="AI1" s="51"/>
      <c r="AJ1" s="51"/>
    </row>
    <row r="2" spans="1:37" s="52" customFormat="1" ht="21" customHeight="1" thickTop="1" thickBot="1" x14ac:dyDescent="0.25">
      <c r="A2" s="221"/>
      <c r="B2" s="221"/>
      <c r="C2" s="222"/>
      <c r="D2" s="222"/>
      <c r="E2" s="222"/>
      <c r="F2" s="222"/>
      <c r="G2" s="222"/>
      <c r="H2" s="222"/>
      <c r="I2" s="222"/>
      <c r="J2" s="222"/>
      <c r="K2" s="222"/>
      <c r="L2" s="222"/>
      <c r="M2" s="222"/>
      <c r="N2" s="222"/>
      <c r="O2" s="222"/>
      <c r="P2" s="222"/>
      <c r="Q2" s="222"/>
      <c r="R2" s="222"/>
      <c r="S2" s="222"/>
      <c r="T2" s="222"/>
      <c r="U2" s="222"/>
      <c r="V2" s="222"/>
      <c r="W2" s="222"/>
      <c r="X2" s="222"/>
      <c r="Y2" s="222"/>
      <c r="Z2" s="222"/>
      <c r="AA2" s="222"/>
      <c r="AB2" s="222"/>
      <c r="AC2" s="222"/>
      <c r="AD2" s="51"/>
      <c r="AE2" s="51"/>
      <c r="AF2" s="51"/>
      <c r="AG2" s="51"/>
      <c r="AH2" s="51"/>
      <c r="AI2" s="51"/>
      <c r="AJ2" s="51"/>
    </row>
    <row r="3" spans="1:37" s="52" customFormat="1" ht="24.75" customHeight="1" thickTop="1" thickBot="1" x14ac:dyDescent="0.25">
      <c r="A3" s="221"/>
      <c r="B3" s="221"/>
      <c r="C3" s="223" t="s">
        <v>268</v>
      </c>
      <c r="D3" s="223"/>
      <c r="E3" s="223"/>
      <c r="F3" s="223"/>
      <c r="G3" s="223"/>
      <c r="H3" s="223"/>
      <c r="I3" s="223"/>
      <c r="J3" s="223"/>
      <c r="K3" s="223"/>
      <c r="L3" s="223"/>
      <c r="M3" s="223"/>
      <c r="N3" s="223"/>
      <c r="O3" s="223"/>
      <c r="P3" s="223"/>
      <c r="Q3" s="223"/>
      <c r="R3" s="223"/>
      <c r="S3" s="223"/>
      <c r="T3" s="223"/>
      <c r="U3" s="223"/>
      <c r="V3" s="223"/>
      <c r="W3" s="223"/>
      <c r="X3" s="223"/>
      <c r="Y3" s="223"/>
      <c r="Z3" s="223"/>
      <c r="AA3" s="223"/>
      <c r="AB3" s="223"/>
      <c r="AC3" s="224" t="s">
        <v>586</v>
      </c>
      <c r="AD3" s="51"/>
      <c r="AE3" s="51"/>
      <c r="AF3" s="51"/>
      <c r="AG3" s="51"/>
      <c r="AH3" s="51"/>
      <c r="AI3" s="51"/>
      <c r="AJ3" s="51"/>
    </row>
    <row r="4" spans="1:37" s="52" customFormat="1" ht="21.75" customHeight="1" thickTop="1" thickBot="1" x14ac:dyDescent="0.25">
      <c r="A4" s="221"/>
      <c r="B4" s="221"/>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2"/>
      <c r="AD4" s="51"/>
      <c r="AE4" s="51"/>
      <c r="AF4" s="51"/>
      <c r="AG4" s="51"/>
      <c r="AH4" s="51"/>
      <c r="AI4" s="51"/>
      <c r="AJ4" s="51"/>
    </row>
    <row r="5" spans="1:37" s="52" customFormat="1" ht="23.25" customHeight="1" thickTop="1" x14ac:dyDescent="0.2">
      <c r="A5" s="199" t="s">
        <v>588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51"/>
      <c r="AE5" s="51"/>
      <c r="AF5" s="51"/>
      <c r="AG5" s="51"/>
      <c r="AH5" s="51"/>
      <c r="AI5" s="51"/>
      <c r="AJ5" s="51"/>
    </row>
    <row r="6" spans="1:37" s="52" customFormat="1" ht="25.5" customHeight="1" x14ac:dyDescent="0.2">
      <c r="A6" s="206" t="s">
        <v>278</v>
      </c>
      <c r="B6" s="207"/>
      <c r="C6" s="207"/>
      <c r="D6" s="207"/>
      <c r="E6" s="208"/>
      <c r="F6" s="214" t="s">
        <v>487</v>
      </c>
      <c r="G6" s="215"/>
      <c r="H6" s="215"/>
      <c r="I6" s="215"/>
      <c r="J6" s="215"/>
      <c r="K6" s="215"/>
      <c r="L6" s="215"/>
      <c r="M6" s="215"/>
      <c r="N6" s="215"/>
      <c r="O6" s="215"/>
      <c r="P6" s="215"/>
      <c r="Q6" s="215"/>
      <c r="R6" s="215"/>
      <c r="S6" s="215"/>
      <c r="T6" s="215"/>
      <c r="U6" s="215"/>
      <c r="V6" s="215"/>
      <c r="W6" s="215"/>
      <c r="X6" s="215"/>
      <c r="Y6" s="215"/>
      <c r="Z6" s="215"/>
      <c r="AA6" s="215"/>
      <c r="AB6" s="215"/>
      <c r="AC6" s="216"/>
      <c r="AD6" s="51"/>
      <c r="AE6" s="51"/>
      <c r="AF6" s="51"/>
      <c r="AG6" s="51"/>
      <c r="AH6" s="51"/>
      <c r="AI6" s="51"/>
      <c r="AJ6" s="51"/>
    </row>
    <row r="7" spans="1:37" ht="15.75" customHeight="1" x14ac:dyDescent="0.2">
      <c r="A7" s="209"/>
      <c r="B7" s="210"/>
      <c r="C7" s="210"/>
      <c r="D7" s="210"/>
      <c r="E7" s="210"/>
      <c r="F7" s="210"/>
      <c r="G7" s="210"/>
      <c r="H7" s="210"/>
      <c r="I7" s="210"/>
      <c r="J7" s="210"/>
      <c r="K7" s="210"/>
      <c r="L7" s="210"/>
      <c r="M7" s="210"/>
      <c r="N7" s="210"/>
      <c r="O7" s="210"/>
      <c r="P7" s="210"/>
      <c r="Q7" s="210"/>
      <c r="R7" s="210"/>
      <c r="S7" s="210"/>
      <c r="T7" s="210"/>
      <c r="U7" s="210"/>
      <c r="V7" s="210"/>
      <c r="W7" s="210"/>
      <c r="X7" s="210"/>
      <c r="Y7" s="210"/>
      <c r="Z7" s="210"/>
      <c r="AA7" s="210"/>
      <c r="AB7" s="210"/>
      <c r="AC7" s="210"/>
      <c r="AD7" s="210"/>
      <c r="AE7" s="53"/>
      <c r="AF7" s="53"/>
      <c r="AG7" s="53"/>
      <c r="AH7" s="53"/>
      <c r="AI7" s="53"/>
      <c r="AJ7" s="53"/>
      <c r="AK7" s="53"/>
    </row>
    <row r="8" spans="1:37" ht="29.25" customHeight="1" x14ac:dyDescent="0.2">
      <c r="A8" s="211" t="s">
        <v>0</v>
      </c>
      <c r="B8" s="195" t="s">
        <v>109</v>
      </c>
      <c r="C8" s="195" t="s">
        <v>1</v>
      </c>
      <c r="D8" s="195" t="s">
        <v>2</v>
      </c>
      <c r="E8" s="195" t="s">
        <v>3</v>
      </c>
      <c r="F8" s="195" t="s">
        <v>4</v>
      </c>
      <c r="G8" s="197" t="s">
        <v>5</v>
      </c>
      <c r="H8" s="198"/>
      <c r="I8" s="195" t="s">
        <v>6</v>
      </c>
      <c r="J8" s="197" t="s">
        <v>7</v>
      </c>
      <c r="K8" s="217"/>
      <c r="L8" s="198"/>
      <c r="M8" s="218" t="s">
        <v>8</v>
      </c>
      <c r="N8" s="217"/>
      <c r="O8" s="217"/>
      <c r="P8" s="217"/>
      <c r="Q8" s="217"/>
      <c r="R8" s="217"/>
      <c r="S8" s="198"/>
      <c r="T8" s="55" t="s">
        <v>9</v>
      </c>
      <c r="U8" s="197" t="s">
        <v>10</v>
      </c>
      <c r="V8" s="217"/>
      <c r="W8" s="198"/>
      <c r="X8" s="219" t="s">
        <v>11</v>
      </c>
      <c r="Y8" s="220"/>
      <c r="Z8" s="220"/>
      <c r="AA8" s="220"/>
      <c r="AB8" s="220"/>
      <c r="AC8" s="220"/>
      <c r="AD8" s="220"/>
      <c r="AE8" s="56"/>
      <c r="AF8" s="56"/>
      <c r="AG8" s="56"/>
      <c r="AH8" s="56"/>
      <c r="AI8" s="56"/>
      <c r="AJ8" s="56"/>
      <c r="AK8" s="56"/>
    </row>
    <row r="9" spans="1:37" ht="57.75" customHeight="1" x14ac:dyDescent="0.2">
      <c r="A9" s="212"/>
      <c r="B9" s="213"/>
      <c r="C9" s="213"/>
      <c r="D9" s="196"/>
      <c r="E9" s="196"/>
      <c r="F9" s="196"/>
      <c r="G9" s="55" t="s">
        <v>12</v>
      </c>
      <c r="H9" s="55" t="s">
        <v>13</v>
      </c>
      <c r="I9" s="196"/>
      <c r="J9" s="55" t="s">
        <v>14</v>
      </c>
      <c r="K9" s="55" t="s">
        <v>15</v>
      </c>
      <c r="L9" s="55" t="s">
        <v>16</v>
      </c>
      <c r="M9" s="57" t="s">
        <v>17</v>
      </c>
      <c r="N9" s="58" t="s">
        <v>18</v>
      </c>
      <c r="O9" s="57" t="s">
        <v>19</v>
      </c>
      <c r="P9" s="59" t="s">
        <v>20</v>
      </c>
      <c r="Q9" s="59" t="s">
        <v>21</v>
      </c>
      <c r="R9" s="57" t="s">
        <v>22</v>
      </c>
      <c r="S9" s="60" t="s">
        <v>20</v>
      </c>
      <c r="T9" s="60" t="s">
        <v>23</v>
      </c>
      <c r="U9" s="61" t="s">
        <v>24</v>
      </c>
      <c r="V9" s="61" t="s">
        <v>25</v>
      </c>
      <c r="W9" s="62" t="s">
        <v>26</v>
      </c>
      <c r="X9" s="57" t="s">
        <v>27</v>
      </c>
      <c r="Y9" s="57" t="s">
        <v>28</v>
      </c>
      <c r="Z9" s="55" t="s">
        <v>29</v>
      </c>
      <c r="AA9" s="55" t="s">
        <v>30</v>
      </c>
      <c r="AB9" s="55" t="s">
        <v>31</v>
      </c>
      <c r="AC9" s="60" t="s">
        <v>32</v>
      </c>
      <c r="AD9" s="63" t="s">
        <v>486</v>
      </c>
      <c r="AE9" s="56"/>
      <c r="AF9" s="56"/>
      <c r="AG9" s="56"/>
      <c r="AH9" s="56"/>
      <c r="AI9" s="56"/>
      <c r="AJ9" s="56"/>
      <c r="AK9" s="56"/>
    </row>
    <row r="10" spans="1:37" s="68" customFormat="1" ht="109.5" customHeight="1" x14ac:dyDescent="0.2">
      <c r="A10" s="201" t="s">
        <v>545</v>
      </c>
      <c r="B10" s="193" t="s">
        <v>546</v>
      </c>
      <c r="C10" s="70" t="s">
        <v>547</v>
      </c>
      <c r="D10" s="71" t="s">
        <v>542</v>
      </c>
      <c r="E10" s="71" t="s">
        <v>543</v>
      </c>
      <c r="F10" s="72" t="s">
        <v>33</v>
      </c>
      <c r="G10" s="72" t="s">
        <v>542</v>
      </c>
      <c r="H10" s="72" t="s">
        <v>79</v>
      </c>
      <c r="I10" s="72" t="s">
        <v>498</v>
      </c>
      <c r="J10" s="72" t="s">
        <v>84</v>
      </c>
      <c r="K10" s="72" t="s">
        <v>84</v>
      </c>
      <c r="L10" s="72" t="s">
        <v>499</v>
      </c>
      <c r="M10" s="140">
        <v>2</v>
      </c>
      <c r="N10" s="42">
        <v>2</v>
      </c>
      <c r="O10" s="44">
        <f t="shared" ref="O10:O37" si="0">M10*N10</f>
        <v>4</v>
      </c>
      <c r="P10" s="44" t="s">
        <v>39</v>
      </c>
      <c r="Q10" s="42">
        <v>25</v>
      </c>
      <c r="R10" s="44">
        <f t="shared" ref="R10:R37" si="1">O10*Q10</f>
        <v>100</v>
      </c>
      <c r="S10" s="44" t="s">
        <v>42</v>
      </c>
      <c r="T10" s="43" t="s">
        <v>43</v>
      </c>
      <c r="U10" s="73">
        <v>2</v>
      </c>
      <c r="V10" s="72" t="s">
        <v>98</v>
      </c>
      <c r="W10" s="72" t="s">
        <v>33</v>
      </c>
      <c r="X10" s="72" t="s">
        <v>37</v>
      </c>
      <c r="Y10" s="72" t="s">
        <v>37</v>
      </c>
      <c r="Z10" s="72" t="s">
        <v>37</v>
      </c>
      <c r="AA10" s="72" t="s">
        <v>500</v>
      </c>
      <c r="AB10" s="76" t="s">
        <v>54</v>
      </c>
      <c r="AC10" s="77" t="s">
        <v>54</v>
      </c>
      <c r="AD10" s="78"/>
    </row>
    <row r="11" spans="1:37" s="68" customFormat="1" ht="141" customHeight="1" x14ac:dyDescent="0.2">
      <c r="A11" s="202"/>
      <c r="B11" s="194"/>
      <c r="C11" s="70" t="s">
        <v>153</v>
      </c>
      <c r="D11" s="71" t="s">
        <v>154</v>
      </c>
      <c r="E11" s="71" t="s">
        <v>240</v>
      </c>
      <c r="F11" s="72" t="s">
        <v>33</v>
      </c>
      <c r="G11" s="72" t="s">
        <v>155</v>
      </c>
      <c r="H11" s="72" t="s">
        <v>552</v>
      </c>
      <c r="I11" s="72" t="s">
        <v>410</v>
      </c>
      <c r="J11" s="72" t="s">
        <v>71</v>
      </c>
      <c r="K11" s="72" t="s">
        <v>382</v>
      </c>
      <c r="L11" s="72" t="s">
        <v>501</v>
      </c>
      <c r="M11" s="140">
        <v>2</v>
      </c>
      <c r="N11" s="42">
        <v>1</v>
      </c>
      <c r="O11" s="44">
        <f t="shared" si="0"/>
        <v>2</v>
      </c>
      <c r="P11" s="44" t="s">
        <v>39</v>
      </c>
      <c r="Q11" s="42">
        <v>25</v>
      </c>
      <c r="R11" s="44">
        <f t="shared" si="1"/>
        <v>50</v>
      </c>
      <c r="S11" s="44" t="s">
        <v>42</v>
      </c>
      <c r="T11" s="43" t="s">
        <v>43</v>
      </c>
      <c r="U11" s="73">
        <v>2</v>
      </c>
      <c r="V11" s="72" t="s">
        <v>97</v>
      </c>
      <c r="W11" s="72" t="s">
        <v>37</v>
      </c>
      <c r="X11" s="72" t="s">
        <v>37</v>
      </c>
      <c r="Y11" s="72" t="s">
        <v>37</v>
      </c>
      <c r="Z11" s="72" t="s">
        <v>383</v>
      </c>
      <c r="AA11" s="72" t="s">
        <v>241</v>
      </c>
      <c r="AB11" s="76" t="s">
        <v>174</v>
      </c>
      <c r="AC11" s="77" t="s">
        <v>54</v>
      </c>
      <c r="AD11" s="79"/>
      <c r="AE11" s="80"/>
      <c r="AF11" s="81"/>
      <c r="AG11" s="81"/>
      <c r="AH11" s="81"/>
      <c r="AI11" s="81"/>
      <c r="AJ11" s="81"/>
      <c r="AK11" s="81"/>
    </row>
    <row r="12" spans="1:37" s="68" customFormat="1" ht="96" customHeight="1" x14ac:dyDescent="0.2">
      <c r="A12" s="202"/>
      <c r="B12" s="194"/>
      <c r="C12" s="70" t="s">
        <v>547</v>
      </c>
      <c r="D12" s="71" t="s">
        <v>204</v>
      </c>
      <c r="E12" s="71" t="s">
        <v>91</v>
      </c>
      <c r="F12" s="72" t="s">
        <v>33</v>
      </c>
      <c r="G12" s="72" t="s">
        <v>205</v>
      </c>
      <c r="H12" s="72" t="s">
        <v>502</v>
      </c>
      <c r="I12" s="72" t="s">
        <v>503</v>
      </c>
      <c r="J12" s="72" t="s">
        <v>201</v>
      </c>
      <c r="K12" s="72" t="s">
        <v>504</v>
      </c>
      <c r="L12" s="72" t="s">
        <v>384</v>
      </c>
      <c r="M12" s="140">
        <v>2</v>
      </c>
      <c r="N12" s="42">
        <v>3</v>
      </c>
      <c r="O12" s="44">
        <f t="shared" si="0"/>
        <v>6</v>
      </c>
      <c r="P12" s="44" t="s">
        <v>34</v>
      </c>
      <c r="Q12" s="42">
        <v>25</v>
      </c>
      <c r="R12" s="44">
        <f t="shared" si="1"/>
        <v>150</v>
      </c>
      <c r="S12" s="44" t="s">
        <v>45</v>
      </c>
      <c r="T12" s="43" t="s">
        <v>47</v>
      </c>
      <c r="U12" s="73">
        <v>2</v>
      </c>
      <c r="V12" s="72" t="s">
        <v>242</v>
      </c>
      <c r="W12" s="72" t="s">
        <v>33</v>
      </c>
      <c r="X12" s="72" t="s">
        <v>37</v>
      </c>
      <c r="Y12" s="72" t="s">
        <v>37</v>
      </c>
      <c r="Z12" s="72" t="s">
        <v>505</v>
      </c>
      <c r="AA12" s="72" t="s">
        <v>206</v>
      </c>
      <c r="AB12" s="76" t="s">
        <v>385</v>
      </c>
      <c r="AC12" s="77" t="s">
        <v>99</v>
      </c>
      <c r="AD12" s="78"/>
    </row>
    <row r="13" spans="1:37" s="68" customFormat="1" ht="89.25" customHeight="1" x14ac:dyDescent="0.2">
      <c r="A13" s="202"/>
      <c r="B13" s="194"/>
      <c r="C13" s="70" t="s">
        <v>176</v>
      </c>
      <c r="D13" s="71" t="s">
        <v>548</v>
      </c>
      <c r="E13" s="71" t="s">
        <v>177</v>
      </c>
      <c r="F13" s="72" t="s">
        <v>33</v>
      </c>
      <c r="G13" s="72" t="s">
        <v>245</v>
      </c>
      <c r="H13" s="72" t="s">
        <v>178</v>
      </c>
      <c r="I13" s="72" t="s">
        <v>506</v>
      </c>
      <c r="J13" s="82" t="s">
        <v>84</v>
      </c>
      <c r="K13" s="83" t="s">
        <v>386</v>
      </c>
      <c r="L13" s="72" t="s">
        <v>507</v>
      </c>
      <c r="M13" s="140">
        <v>2</v>
      </c>
      <c r="N13" s="42">
        <v>2</v>
      </c>
      <c r="O13" s="44">
        <f t="shared" si="0"/>
        <v>4</v>
      </c>
      <c r="P13" s="44" t="s">
        <v>39</v>
      </c>
      <c r="Q13" s="42">
        <v>25</v>
      </c>
      <c r="R13" s="44">
        <f t="shared" si="1"/>
        <v>100</v>
      </c>
      <c r="S13" s="44" t="s">
        <v>42</v>
      </c>
      <c r="T13" s="43" t="s">
        <v>43</v>
      </c>
      <c r="U13" s="73">
        <v>2</v>
      </c>
      <c r="V13" s="72" t="s">
        <v>98</v>
      </c>
      <c r="W13" s="72"/>
      <c r="X13" s="72" t="s">
        <v>37</v>
      </c>
      <c r="Y13" s="72" t="s">
        <v>37</v>
      </c>
      <c r="Z13" s="72" t="s">
        <v>508</v>
      </c>
      <c r="AA13" s="72" t="s">
        <v>82</v>
      </c>
      <c r="AB13" s="76" t="s">
        <v>179</v>
      </c>
      <c r="AC13" s="77" t="s">
        <v>54</v>
      </c>
      <c r="AD13" s="78"/>
    </row>
    <row r="14" spans="1:37" s="68" customFormat="1" ht="78.75" customHeight="1" x14ac:dyDescent="0.2">
      <c r="A14" s="202"/>
      <c r="B14" s="194"/>
      <c r="C14" s="70" t="s">
        <v>547</v>
      </c>
      <c r="D14" s="71" t="s">
        <v>119</v>
      </c>
      <c r="E14" s="71" t="s">
        <v>180</v>
      </c>
      <c r="F14" s="72" t="s">
        <v>33</v>
      </c>
      <c r="G14" s="72" t="s">
        <v>247</v>
      </c>
      <c r="H14" s="72" t="s">
        <v>73</v>
      </c>
      <c r="I14" s="72" t="s">
        <v>509</v>
      </c>
      <c r="J14" s="72" t="s">
        <v>71</v>
      </c>
      <c r="K14" s="72" t="s">
        <v>71</v>
      </c>
      <c r="L14" s="72" t="s">
        <v>156</v>
      </c>
      <c r="M14" s="140">
        <v>2</v>
      </c>
      <c r="N14" s="42">
        <v>3</v>
      </c>
      <c r="O14" s="44">
        <f t="shared" si="0"/>
        <v>6</v>
      </c>
      <c r="P14" s="44" t="s">
        <v>34</v>
      </c>
      <c r="Q14" s="42">
        <v>25</v>
      </c>
      <c r="R14" s="44">
        <f t="shared" si="1"/>
        <v>150</v>
      </c>
      <c r="S14" s="44" t="s">
        <v>45</v>
      </c>
      <c r="T14" s="43" t="s">
        <v>47</v>
      </c>
      <c r="U14" s="73">
        <v>2</v>
      </c>
      <c r="V14" s="72" t="s">
        <v>510</v>
      </c>
      <c r="W14" s="76" t="s">
        <v>33</v>
      </c>
      <c r="X14" s="72" t="s">
        <v>37</v>
      </c>
      <c r="Y14" s="72" t="s">
        <v>37</v>
      </c>
      <c r="Z14" s="72" t="s">
        <v>37</v>
      </c>
      <c r="AA14" s="72" t="s">
        <v>157</v>
      </c>
      <c r="AB14" s="76" t="s">
        <v>54</v>
      </c>
      <c r="AC14" s="77" t="s">
        <v>54</v>
      </c>
      <c r="AD14" s="78"/>
    </row>
    <row r="15" spans="1:37" s="68" customFormat="1" ht="96" customHeight="1" x14ac:dyDescent="0.2">
      <c r="A15" s="202"/>
      <c r="B15" s="194"/>
      <c r="C15" s="70" t="s">
        <v>547</v>
      </c>
      <c r="D15" s="71" t="s">
        <v>192</v>
      </c>
      <c r="E15" s="71" t="s">
        <v>549</v>
      </c>
      <c r="F15" s="72" t="s">
        <v>33</v>
      </c>
      <c r="G15" s="72" t="s">
        <v>194</v>
      </c>
      <c r="H15" s="72" t="s">
        <v>95</v>
      </c>
      <c r="I15" s="72" t="s">
        <v>248</v>
      </c>
      <c r="J15" s="72" t="s">
        <v>83</v>
      </c>
      <c r="K15" s="72" t="s">
        <v>71</v>
      </c>
      <c r="L15" s="72" t="s">
        <v>74</v>
      </c>
      <c r="M15" s="73">
        <v>2</v>
      </c>
      <c r="N15" s="71">
        <v>2</v>
      </c>
      <c r="O15" s="74">
        <f t="shared" si="0"/>
        <v>4</v>
      </c>
      <c r="P15" s="74" t="s">
        <v>39</v>
      </c>
      <c r="Q15" s="71">
        <v>25</v>
      </c>
      <c r="R15" s="74">
        <f t="shared" si="1"/>
        <v>100</v>
      </c>
      <c r="S15" s="74" t="s">
        <v>42</v>
      </c>
      <c r="T15" s="75" t="s">
        <v>43</v>
      </c>
      <c r="U15" s="73">
        <v>2</v>
      </c>
      <c r="V15" s="72" t="s">
        <v>249</v>
      </c>
      <c r="W15" s="72" t="s">
        <v>33</v>
      </c>
      <c r="X15" s="72" t="s">
        <v>37</v>
      </c>
      <c r="Y15" s="72" t="s">
        <v>37</v>
      </c>
      <c r="Z15" s="72" t="s">
        <v>37</v>
      </c>
      <c r="AA15" s="72" t="s">
        <v>195</v>
      </c>
      <c r="AB15" s="76" t="s">
        <v>54</v>
      </c>
      <c r="AC15" s="77" t="s">
        <v>54</v>
      </c>
      <c r="AD15" s="79"/>
      <c r="AE15" s="80"/>
      <c r="AF15" s="81"/>
      <c r="AG15" s="81"/>
      <c r="AH15" s="81"/>
      <c r="AI15" s="81"/>
      <c r="AJ15" s="81"/>
      <c r="AK15" s="81"/>
    </row>
    <row r="16" spans="1:37" s="68" customFormat="1" ht="114.75" customHeight="1" x14ac:dyDescent="0.2">
      <c r="A16" s="202"/>
      <c r="B16" s="194"/>
      <c r="C16" s="70" t="s">
        <v>92</v>
      </c>
      <c r="D16" s="71" t="s">
        <v>189</v>
      </c>
      <c r="E16" s="71" t="s">
        <v>190</v>
      </c>
      <c r="F16" s="72" t="s">
        <v>33</v>
      </c>
      <c r="G16" s="72" t="s">
        <v>250</v>
      </c>
      <c r="H16" s="72" t="s">
        <v>94</v>
      </c>
      <c r="I16" s="72" t="s">
        <v>511</v>
      </c>
      <c r="J16" s="72" t="s">
        <v>71</v>
      </c>
      <c r="K16" s="72" t="s">
        <v>71</v>
      </c>
      <c r="L16" s="72" t="s">
        <v>93</v>
      </c>
      <c r="M16" s="73">
        <v>2</v>
      </c>
      <c r="N16" s="71">
        <v>2</v>
      </c>
      <c r="O16" s="74">
        <f t="shared" si="0"/>
        <v>4</v>
      </c>
      <c r="P16" s="74" t="s">
        <v>39</v>
      </c>
      <c r="Q16" s="71">
        <v>25</v>
      </c>
      <c r="R16" s="74">
        <f t="shared" si="1"/>
        <v>100</v>
      </c>
      <c r="S16" s="74" t="s">
        <v>42</v>
      </c>
      <c r="T16" s="75" t="s">
        <v>43</v>
      </c>
      <c r="U16" s="73">
        <v>2</v>
      </c>
      <c r="V16" s="72" t="s">
        <v>184</v>
      </c>
      <c r="W16" s="72" t="s">
        <v>87</v>
      </c>
      <c r="X16" s="72" t="s">
        <v>37</v>
      </c>
      <c r="Y16" s="72" t="s">
        <v>37</v>
      </c>
      <c r="Z16" s="72" t="s">
        <v>186</v>
      </c>
      <c r="AA16" s="72" t="s">
        <v>191</v>
      </c>
      <c r="AB16" s="76" t="s">
        <v>187</v>
      </c>
      <c r="AC16" s="77" t="s">
        <v>188</v>
      </c>
      <c r="AD16" s="79"/>
      <c r="AE16" s="80"/>
      <c r="AF16" s="81"/>
      <c r="AG16" s="81"/>
      <c r="AH16" s="81"/>
      <c r="AI16" s="81"/>
      <c r="AJ16" s="81"/>
      <c r="AK16" s="81"/>
    </row>
    <row r="17" spans="1:37" s="68" customFormat="1" ht="96" customHeight="1" x14ac:dyDescent="0.2">
      <c r="A17" s="202"/>
      <c r="B17" s="194"/>
      <c r="C17" s="70" t="s">
        <v>547</v>
      </c>
      <c r="D17" s="71" t="s">
        <v>387</v>
      </c>
      <c r="E17" s="71" t="s">
        <v>193</v>
      </c>
      <c r="F17" s="72" t="s">
        <v>33</v>
      </c>
      <c r="G17" s="72" t="s">
        <v>194</v>
      </c>
      <c r="H17" s="72" t="s">
        <v>95</v>
      </c>
      <c r="I17" s="72" t="s">
        <v>512</v>
      </c>
      <c r="J17" s="72" t="s">
        <v>83</v>
      </c>
      <c r="K17" s="72" t="s">
        <v>71</v>
      </c>
      <c r="L17" s="72" t="s">
        <v>74</v>
      </c>
      <c r="M17" s="73">
        <v>2</v>
      </c>
      <c r="N17" s="71">
        <v>2</v>
      </c>
      <c r="O17" s="74">
        <f t="shared" si="0"/>
        <v>4</v>
      </c>
      <c r="P17" s="74" t="s">
        <v>39</v>
      </c>
      <c r="Q17" s="71">
        <v>25</v>
      </c>
      <c r="R17" s="74">
        <f t="shared" si="1"/>
        <v>100</v>
      </c>
      <c r="S17" s="74" t="s">
        <v>42</v>
      </c>
      <c r="T17" s="75" t="s">
        <v>43</v>
      </c>
      <c r="U17" s="73">
        <v>3</v>
      </c>
      <c r="V17" s="72" t="s">
        <v>249</v>
      </c>
      <c r="W17" s="72" t="s">
        <v>33</v>
      </c>
      <c r="X17" s="72" t="s">
        <v>37</v>
      </c>
      <c r="Y17" s="72" t="s">
        <v>37</v>
      </c>
      <c r="Z17" s="72" t="s">
        <v>37</v>
      </c>
      <c r="AA17" s="72" t="s">
        <v>195</v>
      </c>
      <c r="AB17" s="76" t="s">
        <v>54</v>
      </c>
      <c r="AC17" s="77" t="s">
        <v>54</v>
      </c>
      <c r="AD17" s="79"/>
      <c r="AE17" s="80"/>
      <c r="AF17" s="81"/>
      <c r="AG17" s="81"/>
      <c r="AH17" s="81"/>
      <c r="AI17" s="81"/>
      <c r="AJ17" s="81"/>
      <c r="AK17" s="81"/>
    </row>
    <row r="18" spans="1:37" s="68" customFormat="1" ht="78.75" customHeight="1" x14ac:dyDescent="0.2">
      <c r="A18" s="202"/>
      <c r="B18" s="194"/>
      <c r="C18" s="70" t="s">
        <v>547</v>
      </c>
      <c r="D18" s="71" t="s">
        <v>119</v>
      </c>
      <c r="E18" s="71" t="s">
        <v>180</v>
      </c>
      <c r="F18" s="72" t="s">
        <v>33</v>
      </c>
      <c r="G18" s="72" t="s">
        <v>247</v>
      </c>
      <c r="H18" s="72" t="s">
        <v>73</v>
      </c>
      <c r="I18" s="72" t="s">
        <v>117</v>
      </c>
      <c r="J18" s="72" t="s">
        <v>71</v>
      </c>
      <c r="K18" s="72" t="s">
        <v>71</v>
      </c>
      <c r="L18" s="72" t="s">
        <v>156</v>
      </c>
      <c r="M18" s="73">
        <v>2</v>
      </c>
      <c r="N18" s="71">
        <v>3</v>
      </c>
      <c r="O18" s="74">
        <f t="shared" si="0"/>
        <v>6</v>
      </c>
      <c r="P18" s="74" t="s">
        <v>34</v>
      </c>
      <c r="Q18" s="71">
        <v>25</v>
      </c>
      <c r="R18" s="74">
        <f t="shared" si="1"/>
        <v>150</v>
      </c>
      <c r="S18" s="74" t="s">
        <v>45</v>
      </c>
      <c r="T18" s="75" t="s">
        <v>47</v>
      </c>
      <c r="U18" s="73">
        <v>3</v>
      </c>
      <c r="V18" s="72" t="s">
        <v>118</v>
      </c>
      <c r="W18" s="76" t="s">
        <v>33</v>
      </c>
      <c r="X18" s="72" t="s">
        <v>37</v>
      </c>
      <c r="Y18" s="72" t="s">
        <v>37</v>
      </c>
      <c r="Z18" s="72" t="s">
        <v>37</v>
      </c>
      <c r="AA18" s="72" t="s">
        <v>157</v>
      </c>
      <c r="AB18" s="76" t="s">
        <v>54</v>
      </c>
      <c r="AC18" s="77" t="s">
        <v>54</v>
      </c>
      <c r="AD18" s="78"/>
    </row>
    <row r="19" spans="1:37" s="68" customFormat="1" ht="93" customHeight="1" x14ac:dyDescent="0.2">
      <c r="A19" s="202"/>
      <c r="B19" s="194"/>
      <c r="C19" s="70" t="s">
        <v>547</v>
      </c>
      <c r="D19" s="71" t="s">
        <v>387</v>
      </c>
      <c r="E19" s="71" t="s">
        <v>89</v>
      </c>
      <c r="F19" s="72" t="s">
        <v>33</v>
      </c>
      <c r="G19" s="72" t="s">
        <v>89</v>
      </c>
      <c r="H19" s="72" t="s">
        <v>75</v>
      </c>
      <c r="I19" s="72" t="s">
        <v>246</v>
      </c>
      <c r="J19" s="72" t="s">
        <v>83</v>
      </c>
      <c r="K19" s="72" t="s">
        <v>71</v>
      </c>
      <c r="L19" s="72" t="s">
        <v>196</v>
      </c>
      <c r="M19" s="73">
        <v>2</v>
      </c>
      <c r="N19" s="71">
        <v>2</v>
      </c>
      <c r="O19" s="74">
        <f t="shared" si="0"/>
        <v>4</v>
      </c>
      <c r="P19" s="74" t="s">
        <v>39</v>
      </c>
      <c r="Q19" s="71">
        <v>25</v>
      </c>
      <c r="R19" s="74">
        <f t="shared" si="1"/>
        <v>100</v>
      </c>
      <c r="S19" s="74" t="s">
        <v>42</v>
      </c>
      <c r="T19" s="75" t="s">
        <v>43</v>
      </c>
      <c r="U19" s="73">
        <v>3</v>
      </c>
      <c r="V19" s="72" t="s">
        <v>246</v>
      </c>
      <c r="W19" s="72" t="s">
        <v>37</v>
      </c>
      <c r="X19" s="72" t="s">
        <v>37</v>
      </c>
      <c r="Y19" s="72" t="s">
        <v>37</v>
      </c>
      <c r="Z19" s="72" t="s">
        <v>37</v>
      </c>
      <c r="AA19" s="72" t="s">
        <v>195</v>
      </c>
      <c r="AB19" s="76" t="s">
        <v>54</v>
      </c>
      <c r="AC19" s="77" t="s">
        <v>54</v>
      </c>
      <c r="AD19" s="79"/>
      <c r="AE19" s="80"/>
      <c r="AF19" s="81"/>
      <c r="AG19" s="81"/>
      <c r="AH19" s="81"/>
      <c r="AI19" s="81"/>
      <c r="AJ19" s="81"/>
      <c r="AK19" s="81"/>
    </row>
    <row r="20" spans="1:37" s="68" customFormat="1" ht="96" customHeight="1" x14ac:dyDescent="0.2">
      <c r="A20" s="202"/>
      <c r="B20" s="194"/>
      <c r="C20" s="70" t="s">
        <v>547</v>
      </c>
      <c r="D20" s="71" t="s">
        <v>388</v>
      </c>
      <c r="E20" s="71" t="s">
        <v>550</v>
      </c>
      <c r="F20" s="72" t="s">
        <v>33</v>
      </c>
      <c r="G20" s="72" t="s">
        <v>194</v>
      </c>
      <c r="H20" s="72" t="s">
        <v>95</v>
      </c>
      <c r="I20" s="72" t="s">
        <v>248</v>
      </c>
      <c r="J20" s="72" t="s">
        <v>83</v>
      </c>
      <c r="K20" s="72" t="s">
        <v>71</v>
      </c>
      <c r="L20" s="72" t="s">
        <v>74</v>
      </c>
      <c r="M20" s="73">
        <v>2</v>
      </c>
      <c r="N20" s="71">
        <v>2</v>
      </c>
      <c r="O20" s="74">
        <f t="shared" si="0"/>
        <v>4</v>
      </c>
      <c r="P20" s="74" t="s">
        <v>39</v>
      </c>
      <c r="Q20" s="71">
        <v>25</v>
      </c>
      <c r="R20" s="74">
        <f t="shared" si="1"/>
        <v>100</v>
      </c>
      <c r="S20" s="74" t="s">
        <v>42</v>
      </c>
      <c r="T20" s="75" t="s">
        <v>43</v>
      </c>
      <c r="U20" s="73">
        <v>3</v>
      </c>
      <c r="V20" s="72" t="s">
        <v>249</v>
      </c>
      <c r="W20" s="72" t="s">
        <v>33</v>
      </c>
      <c r="X20" s="72" t="s">
        <v>37</v>
      </c>
      <c r="Y20" s="72" t="s">
        <v>37</v>
      </c>
      <c r="Z20" s="72" t="s">
        <v>37</v>
      </c>
      <c r="AA20" s="72" t="s">
        <v>195</v>
      </c>
      <c r="AB20" s="76" t="s">
        <v>54</v>
      </c>
      <c r="AC20" s="77" t="s">
        <v>54</v>
      </c>
      <c r="AD20" s="79"/>
      <c r="AE20" s="80"/>
      <c r="AF20" s="81"/>
      <c r="AG20" s="81"/>
      <c r="AH20" s="81"/>
      <c r="AI20" s="81"/>
      <c r="AJ20" s="81"/>
      <c r="AK20" s="81"/>
    </row>
    <row r="21" spans="1:37" s="68" customFormat="1" ht="96" customHeight="1" x14ac:dyDescent="0.2">
      <c r="A21" s="202"/>
      <c r="B21" s="194"/>
      <c r="C21" s="70" t="s">
        <v>547</v>
      </c>
      <c r="D21" s="71" t="s">
        <v>204</v>
      </c>
      <c r="E21" s="71" t="s">
        <v>91</v>
      </c>
      <c r="F21" s="72" t="s">
        <v>33</v>
      </c>
      <c r="G21" s="72" t="s">
        <v>205</v>
      </c>
      <c r="H21" s="72" t="s">
        <v>513</v>
      </c>
      <c r="I21" s="72" t="s">
        <v>242</v>
      </c>
      <c r="J21" s="72" t="s">
        <v>201</v>
      </c>
      <c r="K21" s="72" t="s">
        <v>71</v>
      </c>
      <c r="L21" s="72" t="s">
        <v>243</v>
      </c>
      <c r="M21" s="73">
        <v>2</v>
      </c>
      <c r="N21" s="71">
        <v>3</v>
      </c>
      <c r="O21" s="74">
        <f t="shared" si="0"/>
        <v>6</v>
      </c>
      <c r="P21" s="74" t="s">
        <v>34</v>
      </c>
      <c r="Q21" s="71">
        <v>25</v>
      </c>
      <c r="R21" s="74">
        <f t="shared" si="1"/>
        <v>150</v>
      </c>
      <c r="S21" s="74" t="s">
        <v>45</v>
      </c>
      <c r="T21" s="75" t="s">
        <v>47</v>
      </c>
      <c r="U21" s="73">
        <v>3</v>
      </c>
      <c r="V21" s="72" t="s">
        <v>242</v>
      </c>
      <c r="W21" s="72" t="s">
        <v>33</v>
      </c>
      <c r="X21" s="72" t="s">
        <v>37</v>
      </c>
      <c r="Y21" s="72" t="s">
        <v>37</v>
      </c>
      <c r="Z21" s="72" t="s">
        <v>244</v>
      </c>
      <c r="AA21" s="72" t="s">
        <v>206</v>
      </c>
      <c r="AB21" s="76" t="s">
        <v>54</v>
      </c>
      <c r="AC21" s="77" t="s">
        <v>99</v>
      </c>
      <c r="AD21" s="78"/>
    </row>
    <row r="22" spans="1:37" s="68" customFormat="1" ht="96.75" customHeight="1" x14ac:dyDescent="0.2">
      <c r="A22" s="202"/>
      <c r="B22" s="194"/>
      <c r="C22" s="70" t="s">
        <v>547</v>
      </c>
      <c r="D22" s="71" t="s">
        <v>542</v>
      </c>
      <c r="E22" s="71" t="s">
        <v>543</v>
      </c>
      <c r="F22" s="72" t="s">
        <v>33</v>
      </c>
      <c r="G22" s="72" t="s">
        <v>542</v>
      </c>
      <c r="H22" s="72" t="s">
        <v>79</v>
      </c>
      <c r="I22" s="72" t="s">
        <v>514</v>
      </c>
      <c r="J22" s="72" t="s">
        <v>202</v>
      </c>
      <c r="K22" s="82" t="s">
        <v>71</v>
      </c>
      <c r="L22" s="72" t="s">
        <v>515</v>
      </c>
      <c r="M22" s="73">
        <v>2</v>
      </c>
      <c r="N22" s="71">
        <v>2</v>
      </c>
      <c r="O22" s="74">
        <f t="shared" si="0"/>
        <v>4</v>
      </c>
      <c r="P22" s="74" t="s">
        <v>39</v>
      </c>
      <c r="Q22" s="71">
        <v>25</v>
      </c>
      <c r="R22" s="74">
        <f t="shared" si="1"/>
        <v>100</v>
      </c>
      <c r="S22" s="74" t="s">
        <v>42</v>
      </c>
      <c r="T22" s="75" t="s">
        <v>43</v>
      </c>
      <c r="U22" s="73">
        <v>2</v>
      </c>
      <c r="V22" s="72" t="s">
        <v>389</v>
      </c>
      <c r="W22" s="72" t="s">
        <v>33</v>
      </c>
      <c r="X22" s="72" t="s">
        <v>37</v>
      </c>
      <c r="Y22" s="72" t="s">
        <v>37</v>
      </c>
      <c r="Z22" s="72" t="s">
        <v>37</v>
      </c>
      <c r="AA22" s="72" t="s">
        <v>203</v>
      </c>
      <c r="AB22" s="76" t="s">
        <v>54</v>
      </c>
      <c r="AC22" s="77" t="s">
        <v>54</v>
      </c>
      <c r="AD22" s="78"/>
    </row>
    <row r="23" spans="1:37" s="68" customFormat="1" ht="114.75" customHeight="1" x14ac:dyDescent="0.2">
      <c r="A23" s="202"/>
      <c r="B23" s="194"/>
      <c r="C23" s="84" t="s">
        <v>92</v>
      </c>
      <c r="D23" s="71" t="s">
        <v>181</v>
      </c>
      <c r="E23" s="71" t="s">
        <v>182</v>
      </c>
      <c r="F23" s="72" t="s">
        <v>33</v>
      </c>
      <c r="G23" s="72" t="s">
        <v>182</v>
      </c>
      <c r="H23" s="72" t="s">
        <v>94</v>
      </c>
      <c r="I23" s="72" t="s">
        <v>183</v>
      </c>
      <c r="J23" s="72" t="s">
        <v>254</v>
      </c>
      <c r="K23" s="72" t="s">
        <v>71</v>
      </c>
      <c r="L23" s="72" t="s">
        <v>93</v>
      </c>
      <c r="M23" s="73">
        <v>2</v>
      </c>
      <c r="N23" s="71">
        <v>2</v>
      </c>
      <c r="O23" s="74">
        <f t="shared" si="0"/>
        <v>4</v>
      </c>
      <c r="P23" s="74" t="s">
        <v>39</v>
      </c>
      <c r="Q23" s="71">
        <v>25</v>
      </c>
      <c r="R23" s="74">
        <f t="shared" si="1"/>
        <v>100</v>
      </c>
      <c r="S23" s="74" t="s">
        <v>42</v>
      </c>
      <c r="T23" s="75" t="s">
        <v>43</v>
      </c>
      <c r="U23" s="73">
        <v>2</v>
      </c>
      <c r="V23" s="72" t="s">
        <v>184</v>
      </c>
      <c r="W23" s="72" t="s">
        <v>87</v>
      </c>
      <c r="X23" s="72" t="s">
        <v>37</v>
      </c>
      <c r="Y23" s="72" t="s">
        <v>37</v>
      </c>
      <c r="Z23" s="72" t="s">
        <v>186</v>
      </c>
      <c r="AA23" s="72" t="s">
        <v>185</v>
      </c>
      <c r="AB23" s="76" t="s">
        <v>187</v>
      </c>
      <c r="AC23" s="77" t="s">
        <v>188</v>
      </c>
      <c r="AD23" s="79"/>
      <c r="AE23" s="80"/>
      <c r="AF23" s="81"/>
      <c r="AG23" s="81"/>
      <c r="AH23" s="81"/>
      <c r="AI23" s="81"/>
      <c r="AJ23" s="81"/>
      <c r="AK23" s="81"/>
    </row>
    <row r="24" spans="1:37" s="68" customFormat="1" ht="96" customHeight="1" x14ac:dyDescent="0.2">
      <c r="A24" s="202"/>
      <c r="B24" s="194"/>
      <c r="C24" s="70" t="s">
        <v>547</v>
      </c>
      <c r="D24" s="71" t="s">
        <v>192</v>
      </c>
      <c r="E24" s="71" t="s">
        <v>193</v>
      </c>
      <c r="F24" s="72" t="s">
        <v>33</v>
      </c>
      <c r="G24" s="72" t="s">
        <v>194</v>
      </c>
      <c r="H24" s="72" t="s">
        <v>95</v>
      </c>
      <c r="I24" s="72" t="s">
        <v>516</v>
      </c>
      <c r="J24" s="72" t="s">
        <v>83</v>
      </c>
      <c r="K24" s="72" t="s">
        <v>71</v>
      </c>
      <c r="L24" s="72" t="s">
        <v>74</v>
      </c>
      <c r="M24" s="73">
        <v>2</v>
      </c>
      <c r="N24" s="71">
        <v>2</v>
      </c>
      <c r="O24" s="74">
        <f t="shared" si="0"/>
        <v>4</v>
      </c>
      <c r="P24" s="74" t="s">
        <v>39</v>
      </c>
      <c r="Q24" s="71">
        <v>25</v>
      </c>
      <c r="R24" s="74">
        <f t="shared" si="1"/>
        <v>100</v>
      </c>
      <c r="S24" s="74" t="s">
        <v>42</v>
      </c>
      <c r="T24" s="75" t="s">
        <v>43</v>
      </c>
      <c r="U24" s="73">
        <v>2</v>
      </c>
      <c r="V24" s="72" t="s">
        <v>249</v>
      </c>
      <c r="W24" s="72" t="s">
        <v>33</v>
      </c>
      <c r="X24" s="72" t="s">
        <v>37</v>
      </c>
      <c r="Y24" s="72" t="s">
        <v>37</v>
      </c>
      <c r="Z24" s="72" t="s">
        <v>37</v>
      </c>
      <c r="AA24" s="72" t="s">
        <v>195</v>
      </c>
      <c r="AB24" s="76" t="s">
        <v>54</v>
      </c>
      <c r="AC24" s="77" t="s">
        <v>54</v>
      </c>
      <c r="AD24" s="79"/>
      <c r="AE24" s="80"/>
      <c r="AF24" s="81"/>
      <c r="AG24" s="81"/>
      <c r="AH24" s="81"/>
      <c r="AI24" s="81"/>
      <c r="AJ24" s="81"/>
      <c r="AK24" s="81"/>
    </row>
    <row r="25" spans="1:37" s="68" customFormat="1" ht="93" customHeight="1" x14ac:dyDescent="0.2">
      <c r="A25" s="202"/>
      <c r="B25" s="194"/>
      <c r="C25" s="70" t="s">
        <v>547</v>
      </c>
      <c r="D25" s="71" t="s">
        <v>192</v>
      </c>
      <c r="E25" s="71" t="s">
        <v>89</v>
      </c>
      <c r="F25" s="72" t="s">
        <v>33</v>
      </c>
      <c r="G25" s="72" t="s">
        <v>89</v>
      </c>
      <c r="H25" s="72" t="s">
        <v>75</v>
      </c>
      <c r="I25" s="72" t="s">
        <v>517</v>
      </c>
      <c r="J25" s="72" t="s">
        <v>83</v>
      </c>
      <c r="K25" s="72" t="s">
        <v>71</v>
      </c>
      <c r="L25" s="72" t="s">
        <v>196</v>
      </c>
      <c r="M25" s="73">
        <v>2</v>
      </c>
      <c r="N25" s="71">
        <v>2</v>
      </c>
      <c r="O25" s="74">
        <f t="shared" si="0"/>
        <v>4</v>
      </c>
      <c r="P25" s="74" t="s">
        <v>39</v>
      </c>
      <c r="Q25" s="71">
        <v>25</v>
      </c>
      <c r="R25" s="74">
        <f t="shared" si="1"/>
        <v>100</v>
      </c>
      <c r="S25" s="74" t="s">
        <v>42</v>
      </c>
      <c r="T25" s="75" t="s">
        <v>43</v>
      </c>
      <c r="U25" s="73">
        <v>2</v>
      </c>
      <c r="V25" s="72" t="s">
        <v>246</v>
      </c>
      <c r="W25" s="72" t="s">
        <v>37</v>
      </c>
      <c r="X25" s="72" t="s">
        <v>37</v>
      </c>
      <c r="Y25" s="72" t="s">
        <v>37</v>
      </c>
      <c r="Z25" s="72" t="s">
        <v>37</v>
      </c>
      <c r="AA25" s="72" t="s">
        <v>195</v>
      </c>
      <c r="AB25" s="76" t="s">
        <v>54</v>
      </c>
      <c r="AC25" s="77" t="s">
        <v>54</v>
      </c>
      <c r="AD25" s="79"/>
      <c r="AE25" s="80"/>
      <c r="AF25" s="81"/>
      <c r="AG25" s="81"/>
      <c r="AH25" s="81"/>
      <c r="AI25" s="81"/>
      <c r="AJ25" s="81"/>
      <c r="AK25" s="81"/>
    </row>
    <row r="26" spans="1:37" s="68" customFormat="1" ht="93.75" customHeight="1" x14ac:dyDescent="0.2">
      <c r="A26" s="202"/>
      <c r="B26" s="194"/>
      <c r="C26" s="70" t="s">
        <v>547</v>
      </c>
      <c r="D26" s="71" t="s">
        <v>192</v>
      </c>
      <c r="E26" s="71" t="s">
        <v>90</v>
      </c>
      <c r="F26" s="72" t="s">
        <v>33</v>
      </c>
      <c r="G26" s="72" t="s">
        <v>197</v>
      </c>
      <c r="H26" s="72" t="s">
        <v>518</v>
      </c>
      <c r="I26" s="72" t="s">
        <v>390</v>
      </c>
      <c r="J26" s="72" t="s">
        <v>71</v>
      </c>
      <c r="K26" s="72" t="s">
        <v>71</v>
      </c>
      <c r="L26" s="72" t="s">
        <v>519</v>
      </c>
      <c r="M26" s="73">
        <v>2</v>
      </c>
      <c r="N26" s="71">
        <v>3</v>
      </c>
      <c r="O26" s="74">
        <f t="shared" si="0"/>
        <v>6</v>
      </c>
      <c r="P26" s="74" t="s">
        <v>34</v>
      </c>
      <c r="Q26" s="71">
        <v>25</v>
      </c>
      <c r="R26" s="74">
        <f t="shared" si="1"/>
        <v>150</v>
      </c>
      <c r="S26" s="74" t="s">
        <v>45</v>
      </c>
      <c r="T26" s="75" t="s">
        <v>47</v>
      </c>
      <c r="U26" s="73">
        <v>2</v>
      </c>
      <c r="V26" s="72" t="s">
        <v>86</v>
      </c>
      <c r="W26" s="72" t="s">
        <v>88</v>
      </c>
      <c r="X26" s="72" t="s">
        <v>37</v>
      </c>
      <c r="Y26" s="72" t="s">
        <v>37</v>
      </c>
      <c r="Z26" s="72" t="s">
        <v>37</v>
      </c>
      <c r="AA26" s="72" t="s">
        <v>44</v>
      </c>
      <c r="AB26" s="76" t="s">
        <v>54</v>
      </c>
      <c r="AC26" s="77" t="s">
        <v>54</v>
      </c>
      <c r="AD26" s="78"/>
    </row>
    <row r="27" spans="1:37" s="68" customFormat="1" ht="90.75" customHeight="1" x14ac:dyDescent="0.2">
      <c r="A27" s="202"/>
      <c r="B27" s="194"/>
      <c r="C27" s="70" t="s">
        <v>547</v>
      </c>
      <c r="D27" s="71" t="s">
        <v>192</v>
      </c>
      <c r="E27" s="71" t="s">
        <v>255</v>
      </c>
      <c r="F27" s="72" t="s">
        <v>33</v>
      </c>
      <c r="G27" s="72" t="s">
        <v>255</v>
      </c>
      <c r="H27" s="72" t="s">
        <v>80</v>
      </c>
      <c r="I27" s="72" t="s">
        <v>520</v>
      </c>
      <c r="J27" s="72" t="s">
        <v>198</v>
      </c>
      <c r="K27" s="72" t="s">
        <v>521</v>
      </c>
      <c r="L27" s="72" t="s">
        <v>522</v>
      </c>
      <c r="M27" s="73">
        <v>2</v>
      </c>
      <c r="N27" s="71">
        <v>2</v>
      </c>
      <c r="O27" s="74">
        <f t="shared" si="0"/>
        <v>4</v>
      </c>
      <c r="P27" s="74" t="s">
        <v>39</v>
      </c>
      <c r="Q27" s="71">
        <v>25</v>
      </c>
      <c r="R27" s="74">
        <f t="shared" si="1"/>
        <v>100</v>
      </c>
      <c r="S27" s="74" t="s">
        <v>45</v>
      </c>
      <c r="T27" s="75" t="s">
        <v>47</v>
      </c>
      <c r="U27" s="73">
        <v>2</v>
      </c>
      <c r="V27" s="72" t="s">
        <v>86</v>
      </c>
      <c r="W27" s="72" t="s">
        <v>37</v>
      </c>
      <c r="X27" s="72" t="s">
        <v>37</v>
      </c>
      <c r="Y27" s="72" t="s">
        <v>37</v>
      </c>
      <c r="Z27" s="72" t="s">
        <v>37</v>
      </c>
      <c r="AA27" s="72" t="s">
        <v>199</v>
      </c>
      <c r="AB27" s="76" t="s">
        <v>54</v>
      </c>
      <c r="AC27" s="77" t="s">
        <v>54</v>
      </c>
      <c r="AD27" s="78"/>
    </row>
    <row r="28" spans="1:37" s="68" customFormat="1" ht="185.25" customHeight="1" x14ac:dyDescent="0.2">
      <c r="A28" s="202"/>
      <c r="B28" s="194"/>
      <c r="C28" s="70" t="s">
        <v>547</v>
      </c>
      <c r="D28" s="71" t="s">
        <v>200</v>
      </c>
      <c r="E28" s="71" t="s">
        <v>256</v>
      </c>
      <c r="F28" s="72" t="s">
        <v>33</v>
      </c>
      <c r="G28" s="72" t="s">
        <v>256</v>
      </c>
      <c r="H28" s="72" t="s">
        <v>472</v>
      </c>
      <c r="I28" s="72" t="s">
        <v>523</v>
      </c>
      <c r="J28" s="83" t="s">
        <v>391</v>
      </c>
      <c r="K28" s="85" t="s">
        <v>392</v>
      </c>
      <c r="L28" s="72" t="s">
        <v>243</v>
      </c>
      <c r="M28" s="73">
        <v>2</v>
      </c>
      <c r="N28" s="71">
        <v>2</v>
      </c>
      <c r="O28" s="74">
        <f t="shared" si="0"/>
        <v>4</v>
      </c>
      <c r="P28" s="74" t="s">
        <v>39</v>
      </c>
      <c r="Q28" s="71">
        <v>25</v>
      </c>
      <c r="R28" s="74">
        <f t="shared" si="1"/>
        <v>100</v>
      </c>
      <c r="S28" s="74" t="s">
        <v>42</v>
      </c>
      <c r="T28" s="75" t="s">
        <v>43</v>
      </c>
      <c r="U28" s="73">
        <v>2</v>
      </c>
      <c r="V28" s="72" t="s">
        <v>524</v>
      </c>
      <c r="W28" s="72" t="s">
        <v>33</v>
      </c>
      <c r="X28" s="72" t="s">
        <v>37</v>
      </c>
      <c r="Y28" s="72" t="s">
        <v>37</v>
      </c>
      <c r="Z28" s="72" t="s">
        <v>525</v>
      </c>
      <c r="AA28" s="83" t="s">
        <v>526</v>
      </c>
      <c r="AB28" s="76" t="s">
        <v>527</v>
      </c>
      <c r="AC28" s="86" t="s">
        <v>393</v>
      </c>
      <c r="AD28" s="78"/>
    </row>
    <row r="29" spans="1:37" s="68" customFormat="1" ht="136.5" customHeight="1" x14ac:dyDescent="0.2">
      <c r="A29" s="202"/>
      <c r="B29" s="194"/>
      <c r="C29" s="70" t="s">
        <v>547</v>
      </c>
      <c r="D29" s="71" t="s">
        <v>542</v>
      </c>
      <c r="E29" s="71" t="s">
        <v>543</v>
      </c>
      <c r="F29" s="72" t="s">
        <v>33</v>
      </c>
      <c r="G29" s="72" t="s">
        <v>542</v>
      </c>
      <c r="H29" s="72" t="s">
        <v>79</v>
      </c>
      <c r="I29" s="72" t="s">
        <v>528</v>
      </c>
      <c r="J29" s="83" t="s">
        <v>529</v>
      </c>
      <c r="K29" s="82" t="s">
        <v>71</v>
      </c>
      <c r="L29" s="82">
        <v>90</v>
      </c>
      <c r="M29" s="73">
        <v>2</v>
      </c>
      <c r="N29" s="71">
        <v>2</v>
      </c>
      <c r="O29" s="74">
        <f t="shared" si="0"/>
        <v>4</v>
      </c>
      <c r="P29" s="74" t="s">
        <v>39</v>
      </c>
      <c r="Q29" s="71">
        <v>25</v>
      </c>
      <c r="R29" s="74">
        <f t="shared" si="1"/>
        <v>100</v>
      </c>
      <c r="S29" s="74" t="s">
        <v>42</v>
      </c>
      <c r="T29" s="75" t="s">
        <v>43</v>
      </c>
      <c r="U29" s="73">
        <v>2</v>
      </c>
      <c r="V29" s="72" t="s">
        <v>98</v>
      </c>
      <c r="W29" s="72" t="s">
        <v>33</v>
      </c>
      <c r="X29" s="72" t="s">
        <v>37</v>
      </c>
      <c r="Y29" s="72" t="s">
        <v>37</v>
      </c>
      <c r="Z29" s="72" t="s">
        <v>37</v>
      </c>
      <c r="AA29" s="72" t="s">
        <v>203</v>
      </c>
      <c r="AB29" s="76" t="s">
        <v>54</v>
      </c>
      <c r="AC29" s="77" t="s">
        <v>54</v>
      </c>
      <c r="AD29" s="78"/>
    </row>
    <row r="30" spans="1:37" s="68" customFormat="1" ht="156.75" x14ac:dyDescent="0.2">
      <c r="A30" s="202"/>
      <c r="B30" s="194"/>
      <c r="C30" s="70" t="s">
        <v>547</v>
      </c>
      <c r="D30" s="71" t="s">
        <v>204</v>
      </c>
      <c r="E30" s="71" t="s">
        <v>91</v>
      </c>
      <c r="F30" s="72" t="s">
        <v>33</v>
      </c>
      <c r="G30" s="72" t="s">
        <v>205</v>
      </c>
      <c r="H30" s="72" t="s">
        <v>76</v>
      </c>
      <c r="I30" s="83" t="s">
        <v>530</v>
      </c>
      <c r="J30" s="72" t="s">
        <v>201</v>
      </c>
      <c r="K30" s="72" t="s">
        <v>394</v>
      </c>
      <c r="L30" s="72" t="s">
        <v>243</v>
      </c>
      <c r="M30" s="73">
        <v>2</v>
      </c>
      <c r="N30" s="71">
        <v>3</v>
      </c>
      <c r="O30" s="74">
        <f t="shared" si="0"/>
        <v>6</v>
      </c>
      <c r="P30" s="74" t="s">
        <v>34</v>
      </c>
      <c r="Q30" s="71">
        <v>25</v>
      </c>
      <c r="R30" s="74">
        <f t="shared" si="1"/>
        <v>150</v>
      </c>
      <c r="S30" s="74" t="s">
        <v>45</v>
      </c>
      <c r="T30" s="75" t="s">
        <v>47</v>
      </c>
      <c r="U30" s="73">
        <v>2</v>
      </c>
      <c r="V30" s="72" t="s">
        <v>242</v>
      </c>
      <c r="W30" s="72" t="s">
        <v>33</v>
      </c>
      <c r="X30" s="72" t="s">
        <v>37</v>
      </c>
      <c r="Y30" s="72" t="s">
        <v>37</v>
      </c>
      <c r="Z30" s="72" t="s">
        <v>485</v>
      </c>
      <c r="AA30" s="72" t="s">
        <v>206</v>
      </c>
      <c r="AB30" s="76" t="s">
        <v>54</v>
      </c>
      <c r="AC30" s="77" t="s">
        <v>99</v>
      </c>
      <c r="AD30" s="87"/>
    </row>
    <row r="31" spans="1:37" s="68" customFormat="1" ht="111" customHeight="1" x14ac:dyDescent="0.2">
      <c r="A31" s="202"/>
      <c r="B31" s="194"/>
      <c r="C31" s="70" t="s">
        <v>547</v>
      </c>
      <c r="D31" s="71" t="s">
        <v>207</v>
      </c>
      <c r="E31" s="71" t="s">
        <v>208</v>
      </c>
      <c r="F31" s="72" t="s">
        <v>33</v>
      </c>
      <c r="G31" s="72" t="s">
        <v>209</v>
      </c>
      <c r="H31" s="72" t="s">
        <v>96</v>
      </c>
      <c r="I31" s="72" t="s">
        <v>531</v>
      </c>
      <c r="J31" s="72" t="s">
        <v>84</v>
      </c>
      <c r="K31" s="72" t="s">
        <v>532</v>
      </c>
      <c r="L31" s="72" t="s">
        <v>251</v>
      </c>
      <c r="M31" s="73">
        <v>2</v>
      </c>
      <c r="N31" s="71">
        <v>2</v>
      </c>
      <c r="O31" s="74">
        <f t="shared" si="0"/>
        <v>4</v>
      </c>
      <c r="P31" s="74" t="s">
        <v>39</v>
      </c>
      <c r="Q31" s="71">
        <v>100</v>
      </c>
      <c r="R31" s="74">
        <f t="shared" si="1"/>
        <v>400</v>
      </c>
      <c r="S31" s="74" t="s">
        <v>45</v>
      </c>
      <c r="T31" s="75" t="s">
        <v>47</v>
      </c>
      <c r="U31" s="73">
        <v>2</v>
      </c>
      <c r="V31" s="72" t="s">
        <v>533</v>
      </c>
      <c r="W31" s="72"/>
      <c r="X31" s="72" t="s">
        <v>37</v>
      </c>
      <c r="Y31" s="72" t="s">
        <v>37</v>
      </c>
      <c r="Z31" s="72" t="s">
        <v>395</v>
      </c>
      <c r="AA31" s="72" t="s">
        <v>534</v>
      </c>
      <c r="AB31" s="76" t="s">
        <v>252</v>
      </c>
      <c r="AC31" s="77" t="s">
        <v>253</v>
      </c>
      <c r="AD31" s="78"/>
    </row>
    <row r="32" spans="1:37" s="68" customFormat="1" ht="371.25" customHeight="1" x14ac:dyDescent="0.2">
      <c r="A32" s="202"/>
      <c r="B32" s="194"/>
      <c r="C32" s="70" t="s">
        <v>547</v>
      </c>
      <c r="D32" s="71" t="s">
        <v>478</v>
      </c>
      <c r="E32" s="71" t="s">
        <v>479</v>
      </c>
      <c r="F32" s="72" t="s">
        <v>87</v>
      </c>
      <c r="G32" s="71" t="s">
        <v>479</v>
      </c>
      <c r="H32" s="72" t="s">
        <v>80</v>
      </c>
      <c r="I32" s="72" t="s">
        <v>535</v>
      </c>
      <c r="J32" s="72" t="s">
        <v>198</v>
      </c>
      <c r="K32" s="72" t="s">
        <v>521</v>
      </c>
      <c r="L32" s="72" t="s">
        <v>522</v>
      </c>
      <c r="M32" s="73">
        <v>2</v>
      </c>
      <c r="N32" s="71">
        <v>2</v>
      </c>
      <c r="O32" s="74">
        <f>M32*N32</f>
        <v>4</v>
      </c>
      <c r="P32" s="74" t="s">
        <v>39</v>
      </c>
      <c r="Q32" s="71">
        <v>25</v>
      </c>
      <c r="R32" s="74">
        <f>O32*Q32</f>
        <v>100</v>
      </c>
      <c r="S32" s="74" t="s">
        <v>45</v>
      </c>
      <c r="T32" s="75" t="s">
        <v>47</v>
      </c>
      <c r="U32" s="73">
        <v>10</v>
      </c>
      <c r="V32" s="72" t="s">
        <v>484</v>
      </c>
      <c r="W32" s="72" t="s">
        <v>37</v>
      </c>
      <c r="X32" s="72" t="s">
        <v>37</v>
      </c>
      <c r="Y32" s="72" t="s">
        <v>37</v>
      </c>
      <c r="Z32" s="72" t="s">
        <v>482</v>
      </c>
      <c r="AA32" s="83" t="s">
        <v>483</v>
      </c>
      <c r="AB32" s="76" t="s">
        <v>481</v>
      </c>
      <c r="AC32" s="77" t="s">
        <v>54</v>
      </c>
      <c r="AD32" s="88"/>
    </row>
    <row r="33" spans="1:30" s="68" customFormat="1" ht="117" customHeight="1" x14ac:dyDescent="0.2">
      <c r="A33" s="202"/>
      <c r="B33" s="69" t="s">
        <v>404</v>
      </c>
      <c r="C33" s="70" t="s">
        <v>551</v>
      </c>
      <c r="D33" s="71" t="s">
        <v>257</v>
      </c>
      <c r="E33" s="71" t="s">
        <v>223</v>
      </c>
      <c r="F33" s="72" t="s">
        <v>33</v>
      </c>
      <c r="G33" s="72" t="s">
        <v>212</v>
      </c>
      <c r="H33" s="72" t="s">
        <v>69</v>
      </c>
      <c r="I33" s="72" t="s">
        <v>175</v>
      </c>
      <c r="J33" s="72" t="s">
        <v>536</v>
      </c>
      <c r="K33" s="72" t="s">
        <v>396</v>
      </c>
      <c r="L33" s="72" t="s">
        <v>397</v>
      </c>
      <c r="M33" s="73">
        <v>2</v>
      </c>
      <c r="N33" s="71">
        <v>1</v>
      </c>
      <c r="O33" s="74">
        <f t="shared" si="0"/>
        <v>2</v>
      </c>
      <c r="P33" s="74" t="s">
        <v>39</v>
      </c>
      <c r="Q33" s="71">
        <v>25</v>
      </c>
      <c r="R33" s="74">
        <f t="shared" si="1"/>
        <v>50</v>
      </c>
      <c r="S33" s="74" t="s">
        <v>42</v>
      </c>
      <c r="T33" s="75" t="s">
        <v>43</v>
      </c>
      <c r="U33" s="73">
        <v>1</v>
      </c>
      <c r="V33" s="72" t="s">
        <v>213</v>
      </c>
      <c r="W33" s="72" t="s">
        <v>33</v>
      </c>
      <c r="X33" s="72" t="s">
        <v>37</v>
      </c>
      <c r="Y33" s="72" t="s">
        <v>37</v>
      </c>
      <c r="Z33" s="72" t="s">
        <v>403</v>
      </c>
      <c r="AA33" s="72" t="s">
        <v>537</v>
      </c>
      <c r="AB33" s="76" t="s">
        <v>398</v>
      </c>
      <c r="AC33" s="77" t="s">
        <v>538</v>
      </c>
      <c r="AD33" s="78"/>
    </row>
    <row r="34" spans="1:30" s="68" customFormat="1" ht="117" customHeight="1" x14ac:dyDescent="0.2">
      <c r="A34" s="202"/>
      <c r="B34" s="69" t="s">
        <v>404</v>
      </c>
      <c r="C34" s="70" t="s">
        <v>551</v>
      </c>
      <c r="D34" s="71" t="s">
        <v>214</v>
      </c>
      <c r="E34" s="71" t="s">
        <v>211</v>
      </c>
      <c r="F34" s="72" t="s">
        <v>33</v>
      </c>
      <c r="G34" s="72" t="s">
        <v>215</v>
      </c>
      <c r="H34" s="72" t="s">
        <v>216</v>
      </c>
      <c r="I34" s="72" t="s">
        <v>217</v>
      </c>
      <c r="J34" s="72" t="s">
        <v>539</v>
      </c>
      <c r="K34" s="72" t="s">
        <v>71</v>
      </c>
      <c r="L34" s="72" t="s">
        <v>399</v>
      </c>
      <c r="M34" s="73">
        <v>2</v>
      </c>
      <c r="N34" s="71">
        <v>1</v>
      </c>
      <c r="O34" s="74">
        <f t="shared" si="0"/>
        <v>2</v>
      </c>
      <c r="P34" s="74" t="s">
        <v>39</v>
      </c>
      <c r="Q34" s="71">
        <v>25</v>
      </c>
      <c r="R34" s="74">
        <f t="shared" si="1"/>
        <v>50</v>
      </c>
      <c r="S34" s="74" t="s">
        <v>42</v>
      </c>
      <c r="T34" s="75" t="s">
        <v>43</v>
      </c>
      <c r="U34" s="73">
        <v>1</v>
      </c>
      <c r="V34" s="72" t="s">
        <v>218</v>
      </c>
      <c r="W34" s="72" t="s">
        <v>33</v>
      </c>
      <c r="X34" s="72" t="s">
        <v>37</v>
      </c>
      <c r="Y34" s="72" t="s">
        <v>37</v>
      </c>
      <c r="Z34" s="72" t="s">
        <v>37</v>
      </c>
      <c r="AA34" s="72" t="s">
        <v>540</v>
      </c>
      <c r="AB34" s="76" t="s">
        <v>541</v>
      </c>
      <c r="AC34" s="77" t="s">
        <v>553</v>
      </c>
      <c r="AD34" s="78"/>
    </row>
    <row r="35" spans="1:30" s="68" customFormat="1" ht="117" customHeight="1" x14ac:dyDescent="0.2">
      <c r="A35" s="202"/>
      <c r="B35" s="69" t="s">
        <v>404</v>
      </c>
      <c r="C35" s="70" t="s">
        <v>551</v>
      </c>
      <c r="D35" s="71" t="s">
        <v>224</v>
      </c>
      <c r="E35" s="71" t="s">
        <v>219</v>
      </c>
      <c r="F35" s="72" t="s">
        <v>33</v>
      </c>
      <c r="G35" s="72" t="s">
        <v>258</v>
      </c>
      <c r="H35" s="72" t="s">
        <v>80</v>
      </c>
      <c r="I35" s="72" t="s">
        <v>57</v>
      </c>
      <c r="J35" s="72" t="s">
        <v>401</v>
      </c>
      <c r="K35" s="72" t="s">
        <v>71</v>
      </c>
      <c r="L35" s="72" t="s">
        <v>44</v>
      </c>
      <c r="M35" s="73">
        <v>2</v>
      </c>
      <c r="N35" s="71">
        <v>1</v>
      </c>
      <c r="O35" s="74">
        <f t="shared" si="0"/>
        <v>2</v>
      </c>
      <c r="P35" s="74" t="s">
        <v>39</v>
      </c>
      <c r="Q35" s="71">
        <v>27</v>
      </c>
      <c r="R35" s="74">
        <f t="shared" si="1"/>
        <v>54</v>
      </c>
      <c r="S35" s="74" t="s">
        <v>42</v>
      </c>
      <c r="T35" s="75" t="s">
        <v>43</v>
      </c>
      <c r="U35" s="73">
        <v>1</v>
      </c>
      <c r="V35" s="72" t="s">
        <v>222</v>
      </c>
      <c r="W35" s="72" t="s">
        <v>33</v>
      </c>
      <c r="X35" s="72" t="s">
        <v>37</v>
      </c>
      <c r="Y35" s="72" t="s">
        <v>37</v>
      </c>
      <c r="Z35" s="72" t="s">
        <v>402</v>
      </c>
      <c r="AA35" s="72" t="s">
        <v>63</v>
      </c>
      <c r="AB35" s="76" t="s">
        <v>54</v>
      </c>
      <c r="AC35" s="77" t="s">
        <v>54</v>
      </c>
      <c r="AD35" s="78"/>
    </row>
    <row r="36" spans="1:30" s="68" customFormat="1" ht="63" customHeight="1" x14ac:dyDescent="0.2">
      <c r="A36" s="202"/>
      <c r="B36" s="203" t="s">
        <v>474</v>
      </c>
      <c r="C36" s="204"/>
      <c r="D36" s="204"/>
      <c r="E36" s="205"/>
      <c r="F36" s="89" t="s">
        <v>33</v>
      </c>
      <c r="G36" s="90" t="s">
        <v>418</v>
      </c>
      <c r="H36" s="91" t="s">
        <v>270</v>
      </c>
      <c r="I36" s="89" t="s">
        <v>271</v>
      </c>
      <c r="J36" s="92" t="s">
        <v>272</v>
      </c>
      <c r="K36" s="89" t="s">
        <v>273</v>
      </c>
      <c r="L36" s="92" t="s">
        <v>272</v>
      </c>
      <c r="M36" s="71">
        <v>2</v>
      </c>
      <c r="N36" s="71">
        <v>1</v>
      </c>
      <c r="O36" s="93">
        <f t="shared" si="0"/>
        <v>2</v>
      </c>
      <c r="P36" s="93" t="s">
        <v>34</v>
      </c>
      <c r="Q36" s="89">
        <v>25</v>
      </c>
      <c r="R36" s="93">
        <f t="shared" si="1"/>
        <v>50</v>
      </c>
      <c r="S36" s="74" t="s">
        <v>35</v>
      </c>
      <c r="T36" s="75" t="s">
        <v>43</v>
      </c>
      <c r="U36" s="94">
        <v>11</v>
      </c>
      <c r="V36" s="89" t="s">
        <v>413</v>
      </c>
      <c r="X36" s="89"/>
      <c r="Y36" s="89" t="s">
        <v>37</v>
      </c>
      <c r="Z36" s="89" t="s">
        <v>37</v>
      </c>
      <c r="AA36" s="89" t="s">
        <v>475</v>
      </c>
      <c r="AB36" s="95" t="s">
        <v>414</v>
      </c>
      <c r="AC36" s="96"/>
      <c r="AD36" s="78"/>
    </row>
    <row r="37" spans="1:30" s="68" customFormat="1" ht="43.5" customHeight="1" x14ac:dyDescent="0.2">
      <c r="A37" s="202"/>
      <c r="B37" s="203" t="s">
        <v>474</v>
      </c>
      <c r="C37" s="204"/>
      <c r="D37" s="204"/>
      <c r="E37" s="205"/>
      <c r="F37" s="90" t="s">
        <v>33</v>
      </c>
      <c r="G37" s="90" t="s">
        <v>172</v>
      </c>
      <c r="H37" s="97" t="s">
        <v>49</v>
      </c>
      <c r="I37" s="90" t="s">
        <v>81</v>
      </c>
      <c r="J37" s="98" t="s">
        <v>85</v>
      </c>
      <c r="K37" s="90" t="s">
        <v>473</v>
      </c>
      <c r="L37" s="90" t="s">
        <v>149</v>
      </c>
      <c r="M37" s="71">
        <v>2</v>
      </c>
      <c r="N37" s="71">
        <v>3</v>
      </c>
      <c r="O37" s="93">
        <f t="shared" si="0"/>
        <v>6</v>
      </c>
      <c r="P37" s="93" t="s">
        <v>34</v>
      </c>
      <c r="Q37" s="89">
        <v>60</v>
      </c>
      <c r="R37" s="93">
        <f t="shared" si="1"/>
        <v>360</v>
      </c>
      <c r="S37" s="74" t="s">
        <v>35</v>
      </c>
      <c r="T37" s="75" t="s">
        <v>36</v>
      </c>
      <c r="U37" s="94">
        <v>12</v>
      </c>
      <c r="V37" s="90" t="s">
        <v>81</v>
      </c>
      <c r="W37" s="89" t="s">
        <v>33</v>
      </c>
      <c r="X37" s="89" t="s">
        <v>37</v>
      </c>
      <c r="Y37" s="89" t="s">
        <v>37</v>
      </c>
      <c r="Z37" s="89" t="s">
        <v>173</v>
      </c>
      <c r="AA37" s="90" t="s">
        <v>149</v>
      </c>
      <c r="AB37" s="95" t="s">
        <v>54</v>
      </c>
      <c r="AC37" s="96" t="s">
        <v>54</v>
      </c>
      <c r="AD37" s="78"/>
    </row>
    <row r="38" spans="1:30" ht="12.75" customHeight="1" x14ac:dyDescent="0.2">
      <c r="A38" s="64"/>
      <c r="B38" s="64"/>
      <c r="F38" s="64"/>
    </row>
    <row r="39" spans="1:30" ht="12.75" customHeight="1" x14ac:dyDescent="0.2">
      <c r="A39" s="64"/>
      <c r="B39" s="64"/>
      <c r="F39" s="64"/>
    </row>
    <row r="40" spans="1:30" ht="12.75" customHeight="1" x14ac:dyDescent="0.2">
      <c r="A40" s="64"/>
      <c r="B40" s="64"/>
      <c r="F40" s="64"/>
    </row>
    <row r="41" spans="1:30" ht="12.75" customHeight="1" x14ac:dyDescent="0.2">
      <c r="A41" s="64"/>
      <c r="B41" s="64"/>
      <c r="F41" s="64"/>
    </row>
    <row r="42" spans="1:30" ht="12.75" customHeight="1" x14ac:dyDescent="0.2">
      <c r="A42" s="64"/>
      <c r="B42" s="64"/>
      <c r="F42" s="64"/>
    </row>
    <row r="43" spans="1:30" ht="12.75" customHeight="1" x14ac:dyDescent="0.2">
      <c r="A43" s="64"/>
      <c r="B43" s="64"/>
      <c r="F43" s="64"/>
    </row>
    <row r="44" spans="1:30" ht="12.75" customHeight="1" x14ac:dyDescent="0.2">
      <c r="A44" s="64"/>
      <c r="B44" s="64"/>
      <c r="F44" s="64"/>
    </row>
    <row r="45" spans="1:30" ht="12.75" customHeight="1" x14ac:dyDescent="0.2">
      <c r="A45" s="64"/>
      <c r="B45" s="64"/>
      <c r="F45" s="64"/>
    </row>
    <row r="46" spans="1:30" ht="12.75" customHeight="1" x14ac:dyDescent="0.2">
      <c r="A46" s="64"/>
      <c r="B46" s="64"/>
      <c r="F46" s="64"/>
    </row>
    <row r="47" spans="1:30" ht="12.75" customHeight="1" x14ac:dyDescent="0.2">
      <c r="A47" s="64"/>
      <c r="B47" s="64"/>
      <c r="F47" s="64"/>
    </row>
    <row r="48" spans="1:30" ht="12.75" customHeight="1" x14ac:dyDescent="0.2">
      <c r="A48" s="64"/>
      <c r="B48" s="64"/>
      <c r="F48" s="64"/>
    </row>
    <row r="49" spans="1:6" ht="12.75" customHeight="1" x14ac:dyDescent="0.2">
      <c r="A49" s="64"/>
      <c r="B49" s="64"/>
      <c r="F49" s="64"/>
    </row>
    <row r="50" spans="1:6" ht="12.75" customHeight="1" x14ac:dyDescent="0.2">
      <c r="A50" s="64"/>
      <c r="B50" s="64"/>
      <c r="F50" s="64"/>
    </row>
    <row r="51" spans="1:6" ht="12.75" customHeight="1" x14ac:dyDescent="0.2">
      <c r="A51" s="64"/>
      <c r="B51" s="64"/>
      <c r="F51" s="64"/>
    </row>
    <row r="52" spans="1:6" ht="12.75" customHeight="1" x14ac:dyDescent="0.2">
      <c r="A52" s="64"/>
      <c r="B52" s="64"/>
      <c r="F52" s="64"/>
    </row>
    <row r="53" spans="1:6" ht="12.75" customHeight="1" x14ac:dyDescent="0.2">
      <c r="A53" s="64"/>
      <c r="B53" s="64"/>
      <c r="F53" s="64"/>
    </row>
    <row r="54" spans="1:6" ht="12.75" customHeight="1" x14ac:dyDescent="0.2">
      <c r="A54" s="64"/>
      <c r="B54" s="64"/>
      <c r="F54" s="64"/>
    </row>
    <row r="55" spans="1:6" ht="12.75" customHeight="1" x14ac:dyDescent="0.2">
      <c r="A55" s="64"/>
      <c r="B55" s="64"/>
      <c r="F55" s="64"/>
    </row>
    <row r="56" spans="1:6" ht="12.75" customHeight="1" x14ac:dyDescent="0.2">
      <c r="A56" s="64"/>
      <c r="B56" s="64"/>
      <c r="F56" s="64"/>
    </row>
    <row r="57" spans="1:6" ht="12.75" customHeight="1" x14ac:dyDescent="0.2">
      <c r="A57" s="64"/>
      <c r="B57" s="64"/>
      <c r="F57" s="64"/>
    </row>
    <row r="58" spans="1:6" ht="12.75" customHeight="1" x14ac:dyDescent="0.2">
      <c r="A58" s="64"/>
      <c r="B58" s="64"/>
      <c r="F58" s="64"/>
    </row>
    <row r="59" spans="1:6" ht="12.75" customHeight="1" x14ac:dyDescent="0.2">
      <c r="A59" s="64"/>
      <c r="B59" s="64"/>
      <c r="F59" s="64"/>
    </row>
    <row r="60" spans="1:6" ht="12.75" customHeight="1" x14ac:dyDescent="0.2">
      <c r="A60" s="64"/>
      <c r="B60" s="64"/>
      <c r="F60" s="64"/>
    </row>
    <row r="61" spans="1:6" ht="12.75" customHeight="1" x14ac:dyDescent="0.2">
      <c r="A61" s="64"/>
      <c r="B61" s="64"/>
      <c r="F61" s="64"/>
    </row>
    <row r="62" spans="1:6" ht="12.75" customHeight="1" x14ac:dyDescent="0.2">
      <c r="A62" s="64"/>
      <c r="B62" s="64"/>
      <c r="F62" s="64"/>
    </row>
    <row r="63" spans="1:6" ht="12.75" customHeight="1" x14ac:dyDescent="0.2">
      <c r="A63" s="64"/>
      <c r="B63" s="64"/>
      <c r="F63" s="64"/>
    </row>
    <row r="64" spans="1:6" ht="12.75" customHeight="1" x14ac:dyDescent="0.2">
      <c r="A64" s="64"/>
      <c r="B64" s="64"/>
      <c r="F64" s="64"/>
    </row>
    <row r="65" spans="1:6" ht="12.75" customHeight="1" x14ac:dyDescent="0.2">
      <c r="A65" s="64"/>
      <c r="B65" s="64"/>
      <c r="F65" s="64"/>
    </row>
    <row r="66" spans="1:6" ht="12.75" customHeight="1" x14ac:dyDescent="0.2">
      <c r="A66" s="64"/>
      <c r="B66" s="64"/>
      <c r="F66" s="64"/>
    </row>
    <row r="67" spans="1:6" ht="12.75" customHeight="1" x14ac:dyDescent="0.2">
      <c r="A67" s="64"/>
      <c r="B67" s="64"/>
      <c r="F67" s="64"/>
    </row>
    <row r="68" spans="1:6" ht="12.75" customHeight="1" x14ac:dyDescent="0.2">
      <c r="A68" s="64"/>
      <c r="B68" s="64"/>
      <c r="F68" s="64"/>
    </row>
    <row r="69" spans="1:6" ht="12.75" customHeight="1" x14ac:dyDescent="0.2">
      <c r="A69" s="64"/>
      <c r="B69" s="64"/>
      <c r="F69" s="64"/>
    </row>
    <row r="70" spans="1:6" ht="12.75" customHeight="1" x14ac:dyDescent="0.2">
      <c r="A70" s="64"/>
      <c r="B70" s="64"/>
      <c r="F70" s="64"/>
    </row>
    <row r="71" spans="1:6" ht="12.75" customHeight="1" x14ac:dyDescent="0.2">
      <c r="A71" s="64"/>
      <c r="B71" s="64"/>
      <c r="F71" s="64"/>
    </row>
    <row r="72" spans="1:6" ht="12.75" customHeight="1" x14ac:dyDescent="0.2">
      <c r="A72" s="64"/>
      <c r="B72" s="64"/>
      <c r="F72" s="64"/>
    </row>
    <row r="73" spans="1:6" ht="12.75" customHeight="1" x14ac:dyDescent="0.2">
      <c r="A73" s="64"/>
      <c r="B73" s="64"/>
      <c r="F73" s="64"/>
    </row>
    <row r="74" spans="1:6" ht="12.75" customHeight="1" x14ac:dyDescent="0.2">
      <c r="A74" s="64"/>
      <c r="B74" s="64"/>
      <c r="F74" s="64"/>
    </row>
    <row r="75" spans="1:6" ht="12.75" customHeight="1" x14ac:dyDescent="0.2">
      <c r="A75" s="64"/>
      <c r="B75" s="64"/>
      <c r="F75" s="64"/>
    </row>
    <row r="76" spans="1:6" ht="12.75" customHeight="1" x14ac:dyDescent="0.2">
      <c r="A76" s="64"/>
      <c r="B76" s="64"/>
      <c r="F76" s="64"/>
    </row>
    <row r="77" spans="1:6" ht="12.75" customHeight="1" x14ac:dyDescent="0.2">
      <c r="A77" s="64"/>
      <c r="B77" s="64"/>
      <c r="F77" s="64"/>
    </row>
    <row r="78" spans="1:6" ht="12.75" customHeight="1" x14ac:dyDescent="0.2">
      <c r="A78" s="64"/>
      <c r="B78" s="64"/>
      <c r="F78" s="64"/>
    </row>
    <row r="79" spans="1:6" ht="12.75" customHeight="1" x14ac:dyDescent="0.2">
      <c r="A79" s="64"/>
      <c r="B79" s="64"/>
      <c r="F79" s="64"/>
    </row>
    <row r="80" spans="1:6" ht="12.75" customHeight="1" x14ac:dyDescent="0.2">
      <c r="A80" s="64"/>
      <c r="B80" s="64"/>
      <c r="F80" s="64"/>
    </row>
    <row r="81" spans="1:6" ht="12.75" customHeight="1" x14ac:dyDescent="0.2">
      <c r="A81" s="64"/>
      <c r="B81" s="64"/>
      <c r="F81" s="64"/>
    </row>
    <row r="82" spans="1:6" ht="12.75" customHeight="1" x14ac:dyDescent="0.2">
      <c r="A82" s="64"/>
      <c r="B82" s="64"/>
      <c r="F82" s="64"/>
    </row>
    <row r="83" spans="1:6" ht="12.75" customHeight="1" x14ac:dyDescent="0.2">
      <c r="A83" s="64"/>
      <c r="B83" s="64"/>
      <c r="F83" s="64"/>
    </row>
    <row r="84" spans="1:6" ht="12.75" customHeight="1" x14ac:dyDescent="0.2">
      <c r="A84" s="64"/>
      <c r="B84" s="64"/>
      <c r="F84" s="64"/>
    </row>
    <row r="85" spans="1:6" ht="12.75" customHeight="1" x14ac:dyDescent="0.2">
      <c r="A85" s="64"/>
      <c r="B85" s="64"/>
      <c r="F85" s="64"/>
    </row>
    <row r="86" spans="1:6" ht="12.75" customHeight="1" x14ac:dyDescent="0.2">
      <c r="A86" s="64"/>
      <c r="B86" s="64"/>
      <c r="F86" s="64"/>
    </row>
    <row r="87" spans="1:6" ht="12.75" customHeight="1" x14ac:dyDescent="0.2">
      <c r="A87" s="64"/>
      <c r="B87" s="64"/>
      <c r="F87" s="64"/>
    </row>
    <row r="88" spans="1:6" ht="12.75" customHeight="1" x14ac:dyDescent="0.2">
      <c r="A88" s="64"/>
      <c r="B88" s="64"/>
      <c r="F88" s="64"/>
    </row>
    <row r="89" spans="1:6" ht="12.75" customHeight="1" x14ac:dyDescent="0.2">
      <c r="A89" s="64"/>
      <c r="B89" s="64"/>
      <c r="F89" s="64"/>
    </row>
    <row r="90" spans="1:6" ht="12.75" customHeight="1" x14ac:dyDescent="0.2">
      <c r="A90" s="64"/>
      <c r="B90" s="64"/>
      <c r="F90" s="64"/>
    </row>
    <row r="91" spans="1:6" ht="12.75" customHeight="1" x14ac:dyDescent="0.2">
      <c r="A91" s="64"/>
      <c r="B91" s="64"/>
      <c r="F91" s="64"/>
    </row>
    <row r="92" spans="1:6" ht="12.75" customHeight="1" x14ac:dyDescent="0.2">
      <c r="A92" s="64"/>
      <c r="B92" s="64"/>
      <c r="F92" s="64"/>
    </row>
    <row r="93" spans="1:6" ht="12.75" customHeight="1" x14ac:dyDescent="0.2">
      <c r="A93" s="64"/>
      <c r="B93" s="64"/>
      <c r="F93" s="64"/>
    </row>
    <row r="94" spans="1:6" ht="12.75" customHeight="1" x14ac:dyDescent="0.2">
      <c r="A94" s="64"/>
      <c r="B94" s="64"/>
      <c r="F94" s="64"/>
    </row>
    <row r="95" spans="1:6" ht="12.75" customHeight="1" x14ac:dyDescent="0.2">
      <c r="A95" s="64"/>
      <c r="B95" s="64"/>
      <c r="F95" s="64"/>
    </row>
    <row r="96" spans="1:6" ht="12.75" customHeight="1" x14ac:dyDescent="0.2">
      <c r="A96" s="64"/>
      <c r="B96" s="64"/>
      <c r="F96" s="64"/>
    </row>
    <row r="97" spans="1:6" ht="12.75" customHeight="1" x14ac:dyDescent="0.2">
      <c r="A97" s="64"/>
      <c r="B97" s="64"/>
      <c r="F97" s="64"/>
    </row>
    <row r="98" spans="1:6" ht="12.75" customHeight="1" x14ac:dyDescent="0.2">
      <c r="A98" s="64"/>
      <c r="B98" s="64"/>
      <c r="F98" s="64"/>
    </row>
    <row r="99" spans="1:6" ht="12.75" customHeight="1" x14ac:dyDescent="0.2">
      <c r="A99" s="64"/>
      <c r="B99" s="64"/>
      <c r="F99" s="64"/>
    </row>
    <row r="100" spans="1:6" ht="12.75" customHeight="1" x14ac:dyDescent="0.2">
      <c r="A100" s="64"/>
      <c r="B100" s="64"/>
      <c r="F100" s="64"/>
    </row>
    <row r="101" spans="1:6" ht="12.75" customHeight="1" x14ac:dyDescent="0.2">
      <c r="A101" s="64"/>
      <c r="B101" s="64"/>
      <c r="F101" s="64"/>
    </row>
    <row r="102" spans="1:6" ht="12.75" customHeight="1" x14ac:dyDescent="0.2">
      <c r="A102" s="64"/>
      <c r="B102" s="64"/>
      <c r="F102" s="64"/>
    </row>
    <row r="103" spans="1:6" ht="12.75" customHeight="1" x14ac:dyDescent="0.2">
      <c r="A103" s="64"/>
      <c r="B103" s="64"/>
      <c r="F103" s="64"/>
    </row>
    <row r="104" spans="1:6" ht="12.75" customHeight="1" x14ac:dyDescent="0.2">
      <c r="A104" s="64"/>
      <c r="B104" s="64"/>
      <c r="F104" s="64"/>
    </row>
    <row r="105" spans="1:6" ht="12.75" customHeight="1" x14ac:dyDescent="0.2">
      <c r="A105" s="64"/>
      <c r="B105" s="64"/>
      <c r="F105" s="64"/>
    </row>
    <row r="106" spans="1:6" ht="12.75" customHeight="1" x14ac:dyDescent="0.2">
      <c r="A106" s="64"/>
      <c r="B106" s="64"/>
      <c r="F106" s="64"/>
    </row>
    <row r="107" spans="1:6" ht="12.75" customHeight="1" x14ac:dyDescent="0.2">
      <c r="A107" s="64"/>
      <c r="B107" s="64"/>
      <c r="F107" s="64"/>
    </row>
    <row r="108" spans="1:6" ht="12.75" customHeight="1" x14ac:dyDescent="0.2">
      <c r="A108" s="64"/>
      <c r="B108" s="64"/>
      <c r="F108" s="64"/>
    </row>
    <row r="109" spans="1:6" ht="12.75" customHeight="1" x14ac:dyDescent="0.2">
      <c r="A109" s="64"/>
      <c r="B109" s="64"/>
      <c r="F109" s="64"/>
    </row>
    <row r="110" spans="1:6" ht="12.75" customHeight="1" x14ac:dyDescent="0.2">
      <c r="A110" s="64"/>
      <c r="B110" s="64"/>
      <c r="F110" s="64"/>
    </row>
    <row r="111" spans="1:6" ht="12.75" customHeight="1" x14ac:dyDescent="0.2">
      <c r="A111" s="64"/>
      <c r="B111" s="64"/>
      <c r="F111" s="64"/>
    </row>
    <row r="112" spans="1:6" ht="12.75" customHeight="1" x14ac:dyDescent="0.2">
      <c r="A112" s="64"/>
      <c r="B112" s="64"/>
      <c r="F112" s="64"/>
    </row>
    <row r="113" spans="1:6" ht="12.75" customHeight="1" x14ac:dyDescent="0.2">
      <c r="A113" s="64"/>
      <c r="B113" s="64"/>
      <c r="F113" s="64"/>
    </row>
    <row r="114" spans="1:6" ht="12.75" customHeight="1" x14ac:dyDescent="0.2">
      <c r="A114" s="64"/>
      <c r="B114" s="64"/>
      <c r="F114" s="64"/>
    </row>
    <row r="115" spans="1:6" ht="12.75" customHeight="1" x14ac:dyDescent="0.2">
      <c r="A115" s="64"/>
      <c r="B115" s="64"/>
      <c r="F115" s="64"/>
    </row>
    <row r="116" spans="1:6" ht="12.75" customHeight="1" x14ac:dyDescent="0.2">
      <c r="A116" s="64"/>
      <c r="B116" s="64"/>
      <c r="F116" s="64"/>
    </row>
    <row r="117" spans="1:6" ht="12.75" customHeight="1" x14ac:dyDescent="0.2">
      <c r="A117" s="64"/>
      <c r="B117" s="64"/>
      <c r="F117" s="64"/>
    </row>
    <row r="118" spans="1:6" ht="12.75" customHeight="1" x14ac:dyDescent="0.2">
      <c r="A118" s="64"/>
      <c r="B118" s="64"/>
      <c r="F118" s="64"/>
    </row>
    <row r="119" spans="1:6" ht="12.75" customHeight="1" x14ac:dyDescent="0.2">
      <c r="A119" s="64"/>
      <c r="B119" s="64"/>
      <c r="F119" s="64"/>
    </row>
    <row r="120" spans="1:6" ht="12.75" customHeight="1" x14ac:dyDescent="0.2">
      <c r="A120" s="64"/>
      <c r="B120" s="64"/>
      <c r="F120" s="64"/>
    </row>
    <row r="121" spans="1:6" ht="12.75" customHeight="1" x14ac:dyDescent="0.2">
      <c r="A121" s="64"/>
      <c r="B121" s="64"/>
      <c r="F121" s="64"/>
    </row>
    <row r="122" spans="1:6" ht="12.75" customHeight="1" x14ac:dyDescent="0.2">
      <c r="A122" s="64"/>
      <c r="B122" s="64"/>
      <c r="F122" s="64"/>
    </row>
    <row r="123" spans="1:6" ht="12.75" customHeight="1" x14ac:dyDescent="0.2">
      <c r="A123" s="64"/>
      <c r="B123" s="64"/>
      <c r="F123" s="64"/>
    </row>
    <row r="124" spans="1:6" ht="12.75" customHeight="1" x14ac:dyDescent="0.2">
      <c r="A124" s="64"/>
      <c r="B124" s="64"/>
      <c r="F124" s="64"/>
    </row>
    <row r="125" spans="1:6" ht="12.75" customHeight="1" x14ac:dyDescent="0.2">
      <c r="A125" s="64"/>
      <c r="B125" s="64"/>
      <c r="F125" s="64"/>
    </row>
    <row r="126" spans="1:6" ht="12.75" customHeight="1" x14ac:dyDescent="0.2">
      <c r="A126" s="64"/>
      <c r="B126" s="64"/>
      <c r="F126" s="64"/>
    </row>
    <row r="127" spans="1:6" ht="12.75" customHeight="1" x14ac:dyDescent="0.2">
      <c r="A127" s="64"/>
      <c r="B127" s="64"/>
      <c r="F127" s="64"/>
    </row>
    <row r="128" spans="1:6" ht="12.75" customHeight="1" x14ac:dyDescent="0.2">
      <c r="A128" s="64"/>
      <c r="B128" s="64"/>
      <c r="F128" s="64"/>
    </row>
    <row r="129" spans="1:6" ht="12.75" customHeight="1" x14ac:dyDescent="0.2">
      <c r="A129" s="64"/>
      <c r="B129" s="64"/>
      <c r="F129" s="64"/>
    </row>
    <row r="130" spans="1:6" ht="12.75" customHeight="1" x14ac:dyDescent="0.2">
      <c r="A130" s="64"/>
      <c r="B130" s="64"/>
      <c r="F130" s="64"/>
    </row>
    <row r="131" spans="1:6" ht="12.75" customHeight="1" x14ac:dyDescent="0.2">
      <c r="A131" s="64"/>
      <c r="B131" s="64"/>
      <c r="F131" s="64"/>
    </row>
    <row r="132" spans="1:6" ht="12.75" customHeight="1" x14ac:dyDescent="0.2">
      <c r="A132" s="64"/>
      <c r="B132" s="64"/>
      <c r="F132" s="64"/>
    </row>
    <row r="133" spans="1:6" ht="12.75" customHeight="1" x14ac:dyDescent="0.2">
      <c r="A133" s="64"/>
      <c r="B133" s="64"/>
      <c r="F133" s="64"/>
    </row>
    <row r="134" spans="1:6" ht="12.75" customHeight="1" x14ac:dyDescent="0.2">
      <c r="A134" s="64"/>
      <c r="B134" s="64"/>
      <c r="F134" s="64"/>
    </row>
    <row r="135" spans="1:6" ht="12.75" customHeight="1" x14ac:dyDescent="0.2">
      <c r="A135" s="64"/>
      <c r="B135" s="64"/>
      <c r="F135" s="64"/>
    </row>
    <row r="136" spans="1:6" ht="12.75" customHeight="1" x14ac:dyDescent="0.2">
      <c r="A136" s="64"/>
      <c r="B136" s="64"/>
      <c r="F136" s="64"/>
    </row>
    <row r="137" spans="1:6" ht="12.75" customHeight="1" x14ac:dyDescent="0.2">
      <c r="A137" s="64"/>
      <c r="B137" s="64"/>
      <c r="F137" s="64"/>
    </row>
    <row r="138" spans="1:6" ht="12.75" customHeight="1" x14ac:dyDescent="0.2">
      <c r="A138" s="64"/>
      <c r="B138" s="64"/>
      <c r="F138" s="64"/>
    </row>
    <row r="139" spans="1:6" ht="12.75" customHeight="1" x14ac:dyDescent="0.2">
      <c r="A139" s="64"/>
      <c r="B139" s="64"/>
      <c r="F139" s="64"/>
    </row>
    <row r="140" spans="1:6" ht="12.75" customHeight="1" x14ac:dyDescent="0.2">
      <c r="A140" s="64"/>
      <c r="B140" s="64"/>
      <c r="F140" s="64"/>
    </row>
    <row r="141" spans="1:6" ht="12.75" customHeight="1" x14ac:dyDescent="0.2">
      <c r="A141" s="64"/>
      <c r="B141" s="64"/>
      <c r="F141" s="64"/>
    </row>
    <row r="142" spans="1:6" ht="12.75" customHeight="1" x14ac:dyDescent="0.2">
      <c r="A142" s="64"/>
      <c r="B142" s="64"/>
      <c r="F142" s="64"/>
    </row>
    <row r="143" spans="1:6" ht="12.75" customHeight="1" x14ac:dyDescent="0.2">
      <c r="A143" s="64"/>
      <c r="B143" s="64"/>
      <c r="F143" s="64"/>
    </row>
    <row r="144" spans="1:6" ht="12.75" customHeight="1" x14ac:dyDescent="0.2">
      <c r="A144" s="64"/>
      <c r="B144" s="64"/>
      <c r="F144" s="64"/>
    </row>
    <row r="145" spans="1:6" ht="12.75" customHeight="1" x14ac:dyDescent="0.2">
      <c r="A145" s="64"/>
      <c r="B145" s="64"/>
      <c r="F145" s="64"/>
    </row>
    <row r="146" spans="1:6" ht="12.75" customHeight="1" x14ac:dyDescent="0.2">
      <c r="A146" s="64"/>
      <c r="B146" s="64"/>
      <c r="F146" s="64"/>
    </row>
    <row r="147" spans="1:6" ht="12.75" customHeight="1" x14ac:dyDescent="0.2">
      <c r="A147" s="64"/>
      <c r="B147" s="64"/>
      <c r="F147" s="64"/>
    </row>
    <row r="148" spans="1:6" ht="12.75" customHeight="1" x14ac:dyDescent="0.2">
      <c r="A148" s="64"/>
      <c r="B148" s="64"/>
      <c r="F148" s="64"/>
    </row>
    <row r="149" spans="1:6" ht="12.75" customHeight="1" x14ac:dyDescent="0.2">
      <c r="A149" s="64"/>
      <c r="B149" s="64"/>
      <c r="F149" s="64"/>
    </row>
    <row r="150" spans="1:6" ht="12.75" customHeight="1" x14ac:dyDescent="0.2">
      <c r="A150" s="64"/>
      <c r="B150" s="64"/>
      <c r="F150" s="64"/>
    </row>
    <row r="151" spans="1:6" ht="12.75" customHeight="1" x14ac:dyDescent="0.2">
      <c r="A151" s="64"/>
      <c r="B151" s="64"/>
      <c r="F151" s="64"/>
    </row>
    <row r="152" spans="1:6" ht="12.75" customHeight="1" x14ac:dyDescent="0.2">
      <c r="A152" s="64"/>
      <c r="B152" s="64"/>
      <c r="F152" s="64"/>
    </row>
    <row r="153" spans="1:6" ht="12.75" customHeight="1" x14ac:dyDescent="0.2">
      <c r="A153" s="64"/>
      <c r="B153" s="64"/>
      <c r="F153" s="64"/>
    </row>
    <row r="154" spans="1:6" ht="12.75" customHeight="1" x14ac:dyDescent="0.2">
      <c r="A154" s="64"/>
      <c r="B154" s="64"/>
      <c r="F154" s="64"/>
    </row>
    <row r="155" spans="1:6" ht="12.75" customHeight="1" x14ac:dyDescent="0.2">
      <c r="A155" s="64"/>
      <c r="B155" s="64"/>
      <c r="F155" s="64"/>
    </row>
    <row r="156" spans="1:6" ht="12.75" customHeight="1" x14ac:dyDescent="0.2">
      <c r="A156" s="64"/>
      <c r="B156" s="64"/>
      <c r="F156" s="64"/>
    </row>
    <row r="157" spans="1:6" ht="12.75" customHeight="1" x14ac:dyDescent="0.2">
      <c r="A157" s="64"/>
      <c r="B157" s="64"/>
      <c r="F157" s="64"/>
    </row>
    <row r="158" spans="1:6" ht="12.75" customHeight="1" x14ac:dyDescent="0.2">
      <c r="A158" s="64"/>
      <c r="B158" s="64"/>
      <c r="F158" s="64"/>
    </row>
    <row r="159" spans="1:6" ht="12.75" customHeight="1" x14ac:dyDescent="0.2">
      <c r="A159" s="64"/>
      <c r="B159" s="64"/>
      <c r="F159" s="64"/>
    </row>
    <row r="160" spans="1:6" ht="12.75" customHeight="1" x14ac:dyDescent="0.2">
      <c r="A160" s="64"/>
      <c r="B160" s="64"/>
      <c r="F160" s="64"/>
    </row>
    <row r="161" spans="1:6" ht="12.75" customHeight="1" x14ac:dyDescent="0.2">
      <c r="A161" s="64"/>
      <c r="B161" s="64"/>
      <c r="F161" s="64"/>
    </row>
    <row r="162" spans="1:6" ht="12.75" customHeight="1" x14ac:dyDescent="0.2">
      <c r="A162" s="64"/>
      <c r="B162" s="64"/>
      <c r="F162" s="64"/>
    </row>
    <row r="163" spans="1:6" ht="12.75" customHeight="1" x14ac:dyDescent="0.2">
      <c r="A163" s="64"/>
      <c r="B163" s="64"/>
      <c r="F163" s="64"/>
    </row>
    <row r="164" spans="1:6" ht="12.75" customHeight="1" x14ac:dyDescent="0.2">
      <c r="A164" s="64"/>
      <c r="B164" s="64"/>
      <c r="F164" s="64"/>
    </row>
    <row r="165" spans="1:6" ht="12.75" customHeight="1" x14ac:dyDescent="0.2">
      <c r="A165" s="64"/>
      <c r="B165" s="64"/>
      <c r="F165" s="64"/>
    </row>
    <row r="166" spans="1:6" ht="12.75" customHeight="1" x14ac:dyDescent="0.2">
      <c r="A166" s="64"/>
      <c r="B166" s="64"/>
      <c r="F166" s="64"/>
    </row>
    <row r="167" spans="1:6" ht="12.75" customHeight="1" x14ac:dyDescent="0.2">
      <c r="A167" s="64"/>
      <c r="B167" s="64"/>
      <c r="F167" s="64"/>
    </row>
    <row r="168" spans="1:6" ht="12.75" customHeight="1" x14ac:dyDescent="0.2">
      <c r="A168" s="64"/>
      <c r="B168" s="64"/>
      <c r="F168" s="64"/>
    </row>
    <row r="169" spans="1:6" ht="12.75" customHeight="1" x14ac:dyDescent="0.2">
      <c r="A169" s="64"/>
      <c r="B169" s="64"/>
      <c r="F169" s="64"/>
    </row>
    <row r="170" spans="1:6" ht="12.75" customHeight="1" x14ac:dyDescent="0.2">
      <c r="A170" s="64"/>
      <c r="B170" s="64"/>
      <c r="F170" s="64"/>
    </row>
    <row r="171" spans="1:6" ht="12.75" customHeight="1" x14ac:dyDescent="0.2">
      <c r="A171" s="64"/>
      <c r="B171" s="64"/>
      <c r="F171" s="64"/>
    </row>
    <row r="172" spans="1:6" ht="12.75" customHeight="1" x14ac:dyDescent="0.2">
      <c r="A172" s="64"/>
      <c r="B172" s="64"/>
      <c r="F172" s="64"/>
    </row>
    <row r="173" spans="1:6" ht="12.75" customHeight="1" x14ac:dyDescent="0.2">
      <c r="A173" s="64"/>
      <c r="B173" s="64"/>
      <c r="F173" s="64"/>
    </row>
    <row r="174" spans="1:6" ht="12.75" customHeight="1" x14ac:dyDescent="0.2">
      <c r="A174" s="64"/>
      <c r="B174" s="64"/>
      <c r="F174" s="64"/>
    </row>
    <row r="175" spans="1:6" ht="12.75" customHeight="1" x14ac:dyDescent="0.2">
      <c r="A175" s="64"/>
      <c r="B175" s="64"/>
      <c r="F175" s="64"/>
    </row>
    <row r="176" spans="1:6" ht="12.75" customHeight="1" x14ac:dyDescent="0.2">
      <c r="A176" s="64"/>
      <c r="B176" s="64"/>
      <c r="F176" s="64"/>
    </row>
    <row r="177" spans="1:6" ht="12.75" customHeight="1" x14ac:dyDescent="0.2">
      <c r="A177" s="64"/>
      <c r="B177" s="64"/>
      <c r="F177" s="64"/>
    </row>
    <row r="178" spans="1:6" ht="12.75" customHeight="1" x14ac:dyDescent="0.2">
      <c r="A178" s="64"/>
      <c r="B178" s="64"/>
      <c r="F178" s="64"/>
    </row>
    <row r="179" spans="1:6" ht="12.75" customHeight="1" x14ac:dyDescent="0.2">
      <c r="A179" s="64"/>
      <c r="B179" s="64"/>
      <c r="F179" s="64"/>
    </row>
    <row r="180" spans="1:6" ht="12.75" customHeight="1" x14ac:dyDescent="0.2">
      <c r="A180" s="64"/>
      <c r="B180" s="64"/>
      <c r="F180" s="64"/>
    </row>
    <row r="181" spans="1:6" ht="12.75" customHeight="1" x14ac:dyDescent="0.2">
      <c r="A181" s="64"/>
      <c r="B181" s="64"/>
      <c r="F181" s="64"/>
    </row>
    <row r="182" spans="1:6" ht="12.75" customHeight="1" x14ac:dyDescent="0.2">
      <c r="A182" s="64"/>
      <c r="B182" s="64"/>
      <c r="F182" s="64"/>
    </row>
    <row r="183" spans="1:6" ht="12.75" customHeight="1" x14ac:dyDescent="0.2">
      <c r="A183" s="64"/>
      <c r="B183" s="64"/>
      <c r="F183" s="64"/>
    </row>
    <row r="184" spans="1:6" ht="12.75" customHeight="1" x14ac:dyDescent="0.2">
      <c r="A184" s="64"/>
      <c r="B184" s="64"/>
      <c r="F184" s="64"/>
    </row>
    <row r="185" spans="1:6" ht="12.75" customHeight="1" x14ac:dyDescent="0.2">
      <c r="A185" s="64"/>
      <c r="B185" s="64"/>
      <c r="F185" s="64"/>
    </row>
    <row r="186" spans="1:6" ht="12.75" customHeight="1" x14ac:dyDescent="0.2">
      <c r="A186" s="64"/>
      <c r="B186" s="64"/>
      <c r="F186" s="64"/>
    </row>
    <row r="187" spans="1:6" ht="12.75" customHeight="1" x14ac:dyDescent="0.2">
      <c r="A187" s="64"/>
      <c r="B187" s="64"/>
      <c r="F187" s="64"/>
    </row>
    <row r="188" spans="1:6" ht="12.75" customHeight="1" x14ac:dyDescent="0.2">
      <c r="A188" s="64"/>
      <c r="B188" s="64"/>
      <c r="F188" s="64"/>
    </row>
    <row r="189" spans="1:6" ht="12.75" customHeight="1" x14ac:dyDescent="0.2">
      <c r="A189" s="64"/>
      <c r="B189" s="64"/>
      <c r="F189" s="64"/>
    </row>
    <row r="190" spans="1:6" ht="12.75" customHeight="1" x14ac:dyDescent="0.2">
      <c r="A190" s="64"/>
      <c r="B190" s="64"/>
      <c r="F190" s="64"/>
    </row>
    <row r="191" spans="1:6" ht="12.75" customHeight="1" x14ac:dyDescent="0.2">
      <c r="A191" s="64"/>
      <c r="B191" s="64"/>
      <c r="F191" s="64"/>
    </row>
    <row r="192" spans="1:6" ht="12.75" customHeight="1" x14ac:dyDescent="0.2">
      <c r="A192" s="64"/>
      <c r="B192" s="64"/>
      <c r="F192" s="64"/>
    </row>
    <row r="193" spans="1:6" ht="12.75" customHeight="1" x14ac:dyDescent="0.2">
      <c r="A193" s="64"/>
      <c r="B193" s="64"/>
      <c r="F193" s="64"/>
    </row>
    <row r="194" spans="1:6" ht="12.75" customHeight="1" x14ac:dyDescent="0.2">
      <c r="A194" s="64"/>
      <c r="B194" s="64"/>
      <c r="F194" s="64"/>
    </row>
    <row r="195" spans="1:6" ht="12.75" customHeight="1" x14ac:dyDescent="0.2">
      <c r="A195" s="64"/>
      <c r="B195" s="64"/>
      <c r="F195" s="64"/>
    </row>
    <row r="196" spans="1:6" ht="12.75" customHeight="1" x14ac:dyDescent="0.2">
      <c r="A196" s="64"/>
      <c r="B196" s="64"/>
      <c r="F196" s="64"/>
    </row>
    <row r="197" spans="1:6" ht="12.75" customHeight="1" x14ac:dyDescent="0.2">
      <c r="A197" s="64"/>
      <c r="B197" s="64"/>
      <c r="F197" s="64"/>
    </row>
    <row r="198" spans="1:6" ht="12.75" customHeight="1" x14ac:dyDescent="0.2">
      <c r="A198" s="64"/>
      <c r="B198" s="64"/>
      <c r="F198" s="64"/>
    </row>
    <row r="199" spans="1:6" ht="12.75" customHeight="1" x14ac:dyDescent="0.2">
      <c r="A199" s="64"/>
      <c r="B199" s="64"/>
      <c r="F199" s="64"/>
    </row>
    <row r="200" spans="1:6" ht="12.75" customHeight="1" x14ac:dyDescent="0.2">
      <c r="A200" s="64"/>
      <c r="B200" s="64"/>
      <c r="F200" s="64"/>
    </row>
    <row r="201" spans="1:6" ht="12.75" customHeight="1" x14ac:dyDescent="0.2">
      <c r="A201" s="64"/>
      <c r="B201" s="64"/>
      <c r="F201" s="64"/>
    </row>
    <row r="202" spans="1:6" ht="12.75" customHeight="1" x14ac:dyDescent="0.2">
      <c r="A202" s="64"/>
      <c r="B202" s="64"/>
      <c r="F202" s="64"/>
    </row>
    <row r="203" spans="1:6" ht="12.75" customHeight="1" x14ac:dyDescent="0.2">
      <c r="A203" s="64"/>
      <c r="B203" s="64"/>
      <c r="F203" s="64"/>
    </row>
    <row r="204" spans="1:6" ht="12.75" customHeight="1" x14ac:dyDescent="0.2">
      <c r="A204" s="64"/>
      <c r="B204" s="64"/>
      <c r="F204" s="64"/>
    </row>
    <row r="205" spans="1:6" ht="12.75" customHeight="1" x14ac:dyDescent="0.2">
      <c r="A205" s="64"/>
      <c r="B205" s="64"/>
      <c r="F205" s="64"/>
    </row>
    <row r="206" spans="1:6" ht="12.75" customHeight="1" x14ac:dyDescent="0.2">
      <c r="A206" s="64"/>
      <c r="B206" s="64"/>
      <c r="F206" s="64"/>
    </row>
    <row r="207" spans="1:6" ht="12.75" customHeight="1" x14ac:dyDescent="0.2">
      <c r="A207" s="64"/>
      <c r="B207" s="64"/>
      <c r="F207" s="64"/>
    </row>
    <row r="208" spans="1:6" ht="12.75" customHeight="1" x14ac:dyDescent="0.2">
      <c r="A208" s="64"/>
      <c r="B208" s="64"/>
      <c r="F208" s="64"/>
    </row>
    <row r="209" spans="1:6" ht="12.75" customHeight="1" x14ac:dyDescent="0.2">
      <c r="A209" s="64"/>
      <c r="B209" s="64"/>
      <c r="F209" s="64"/>
    </row>
    <row r="210" spans="1:6" ht="12.75" customHeight="1" x14ac:dyDescent="0.2">
      <c r="A210" s="64"/>
      <c r="B210" s="64"/>
      <c r="F210" s="64"/>
    </row>
    <row r="211" spans="1:6" ht="12.75" customHeight="1" x14ac:dyDescent="0.2">
      <c r="A211" s="64"/>
      <c r="B211" s="64"/>
      <c r="F211" s="64"/>
    </row>
    <row r="212" spans="1:6" ht="12.75" customHeight="1" x14ac:dyDescent="0.2">
      <c r="A212" s="64"/>
      <c r="B212" s="64"/>
      <c r="F212" s="64"/>
    </row>
    <row r="213" spans="1:6" ht="12.75" customHeight="1" x14ac:dyDescent="0.2">
      <c r="A213" s="64"/>
      <c r="B213" s="64"/>
      <c r="F213" s="64"/>
    </row>
    <row r="214" spans="1:6" ht="12.75" customHeight="1" x14ac:dyDescent="0.2">
      <c r="A214" s="64"/>
      <c r="B214" s="64"/>
      <c r="F214" s="64"/>
    </row>
    <row r="215" spans="1:6" ht="12.75" customHeight="1" x14ac:dyDescent="0.2">
      <c r="A215" s="64"/>
      <c r="B215" s="64"/>
      <c r="F215" s="64"/>
    </row>
    <row r="216" spans="1:6" ht="12.75" customHeight="1" x14ac:dyDescent="0.2">
      <c r="A216" s="64"/>
      <c r="B216" s="64"/>
      <c r="F216" s="64"/>
    </row>
    <row r="217" spans="1:6" ht="12.75" customHeight="1" x14ac:dyDescent="0.2">
      <c r="A217" s="64"/>
      <c r="B217" s="64"/>
      <c r="F217" s="64"/>
    </row>
    <row r="218" spans="1:6" ht="12.75" customHeight="1" x14ac:dyDescent="0.2">
      <c r="A218" s="64"/>
      <c r="B218" s="64"/>
      <c r="F218" s="64"/>
    </row>
    <row r="219" spans="1:6" ht="12.75" customHeight="1" x14ac:dyDescent="0.2">
      <c r="A219" s="64"/>
      <c r="B219" s="64"/>
      <c r="F219" s="64"/>
    </row>
    <row r="220" spans="1:6" ht="12.75" customHeight="1" x14ac:dyDescent="0.2">
      <c r="A220" s="64"/>
      <c r="B220" s="64"/>
      <c r="F220" s="64"/>
    </row>
    <row r="221" spans="1:6" ht="12.75" customHeight="1" x14ac:dyDescent="0.2">
      <c r="A221" s="64"/>
      <c r="B221" s="64"/>
      <c r="F221" s="64"/>
    </row>
    <row r="222" spans="1:6" ht="12.75" customHeight="1" x14ac:dyDescent="0.2">
      <c r="A222" s="64"/>
      <c r="B222" s="64"/>
      <c r="F222" s="64"/>
    </row>
    <row r="223" spans="1:6" ht="12.75" customHeight="1" x14ac:dyDescent="0.2">
      <c r="A223" s="64"/>
      <c r="B223" s="64"/>
      <c r="F223" s="64"/>
    </row>
    <row r="224" spans="1:6" ht="12.75" customHeight="1" x14ac:dyDescent="0.2">
      <c r="A224" s="64"/>
      <c r="B224" s="64"/>
      <c r="F224" s="64"/>
    </row>
    <row r="225" spans="1:6" ht="12.75" customHeight="1" x14ac:dyDescent="0.2">
      <c r="A225" s="64"/>
      <c r="B225" s="64"/>
      <c r="F225" s="64"/>
    </row>
    <row r="226" spans="1:6" ht="12.75" customHeight="1" x14ac:dyDescent="0.2">
      <c r="A226" s="64"/>
      <c r="B226" s="64"/>
      <c r="F226" s="64"/>
    </row>
    <row r="227" spans="1:6" ht="12.75" customHeight="1" x14ac:dyDescent="0.2">
      <c r="A227" s="64"/>
      <c r="B227" s="64"/>
      <c r="F227" s="64"/>
    </row>
    <row r="228" spans="1:6" ht="12.75" customHeight="1" x14ac:dyDescent="0.2">
      <c r="A228" s="64"/>
      <c r="B228" s="64"/>
      <c r="F228" s="64"/>
    </row>
    <row r="229" spans="1:6" ht="12.75" customHeight="1" x14ac:dyDescent="0.2">
      <c r="A229" s="64"/>
      <c r="B229" s="64"/>
      <c r="F229" s="64"/>
    </row>
    <row r="230" spans="1:6" ht="12.75" customHeight="1" x14ac:dyDescent="0.2">
      <c r="A230" s="64"/>
      <c r="B230" s="64"/>
      <c r="F230" s="64"/>
    </row>
    <row r="231" spans="1:6" ht="12.75" customHeight="1" x14ac:dyDescent="0.2">
      <c r="A231" s="64"/>
      <c r="B231" s="64"/>
      <c r="F231" s="64"/>
    </row>
    <row r="232" spans="1:6" ht="12.75" customHeight="1" x14ac:dyDescent="0.2">
      <c r="A232" s="64"/>
      <c r="B232" s="64"/>
      <c r="F232" s="64"/>
    </row>
    <row r="233" spans="1:6" ht="12.75" customHeight="1" x14ac:dyDescent="0.2">
      <c r="A233" s="64"/>
      <c r="B233" s="64"/>
      <c r="F233" s="64"/>
    </row>
    <row r="234" spans="1:6" ht="12.75" customHeight="1" x14ac:dyDescent="0.2">
      <c r="A234" s="64"/>
      <c r="B234" s="64"/>
      <c r="F234" s="64"/>
    </row>
    <row r="235" spans="1:6" ht="12.75" customHeight="1" x14ac:dyDescent="0.2">
      <c r="A235" s="64"/>
      <c r="B235" s="64"/>
      <c r="F235" s="64"/>
    </row>
    <row r="236" spans="1:6" ht="12.75" customHeight="1" x14ac:dyDescent="0.2">
      <c r="A236" s="64"/>
      <c r="B236" s="64"/>
      <c r="F236" s="64"/>
    </row>
    <row r="237" spans="1:6" ht="12.75" customHeight="1" x14ac:dyDescent="0.2">
      <c r="A237" s="64"/>
      <c r="B237" s="64"/>
      <c r="F237" s="64"/>
    </row>
    <row r="238" spans="1:6" ht="12.75" customHeight="1" x14ac:dyDescent="0.2">
      <c r="A238" s="64"/>
      <c r="B238" s="64"/>
      <c r="F238" s="64"/>
    </row>
    <row r="239" spans="1:6" ht="12.75" customHeight="1" x14ac:dyDescent="0.2">
      <c r="A239" s="64"/>
      <c r="B239" s="64"/>
      <c r="F239" s="64"/>
    </row>
    <row r="240" spans="1:6" ht="12.75" customHeight="1" x14ac:dyDescent="0.2">
      <c r="A240" s="64"/>
      <c r="B240" s="64"/>
      <c r="F240" s="64"/>
    </row>
    <row r="241" spans="1:6" ht="12.75" customHeight="1" x14ac:dyDescent="0.2">
      <c r="A241" s="64"/>
      <c r="B241" s="64"/>
      <c r="F241" s="64"/>
    </row>
    <row r="242" spans="1:6" ht="12.75" customHeight="1" x14ac:dyDescent="0.2">
      <c r="A242" s="64"/>
      <c r="B242" s="64"/>
      <c r="F242" s="64"/>
    </row>
    <row r="243" spans="1:6" ht="12.75" customHeight="1" x14ac:dyDescent="0.2">
      <c r="A243" s="64"/>
      <c r="B243" s="64"/>
      <c r="F243" s="64"/>
    </row>
    <row r="244" spans="1:6" ht="12.75" customHeight="1" x14ac:dyDescent="0.2">
      <c r="A244" s="64"/>
      <c r="B244" s="64"/>
      <c r="F244" s="64"/>
    </row>
    <row r="245" spans="1:6" ht="12.75" customHeight="1" x14ac:dyDescent="0.2">
      <c r="A245" s="64"/>
      <c r="B245" s="64"/>
      <c r="F245" s="64"/>
    </row>
    <row r="246" spans="1:6" ht="12.75" customHeight="1" x14ac:dyDescent="0.2">
      <c r="A246" s="64"/>
      <c r="B246" s="64"/>
      <c r="F246" s="64"/>
    </row>
    <row r="247" spans="1:6" ht="12.75" customHeight="1" x14ac:dyDescent="0.2">
      <c r="A247" s="64"/>
      <c r="B247" s="64"/>
      <c r="F247" s="64"/>
    </row>
    <row r="248" spans="1:6" ht="12.75" customHeight="1" x14ac:dyDescent="0.2">
      <c r="A248" s="64"/>
      <c r="B248" s="64"/>
      <c r="F248" s="64"/>
    </row>
    <row r="249" spans="1:6" ht="12.75" customHeight="1" x14ac:dyDescent="0.2">
      <c r="A249" s="64"/>
      <c r="B249" s="64"/>
      <c r="F249" s="64"/>
    </row>
    <row r="250" spans="1:6" ht="12.75" customHeight="1" x14ac:dyDescent="0.2">
      <c r="A250" s="64"/>
      <c r="B250" s="64"/>
      <c r="F250" s="64"/>
    </row>
    <row r="251" spans="1:6" ht="12.75" customHeight="1" x14ac:dyDescent="0.2">
      <c r="A251" s="64"/>
      <c r="B251" s="64"/>
      <c r="F251" s="64"/>
    </row>
    <row r="252" spans="1:6" ht="12.75" customHeight="1" x14ac:dyDescent="0.2">
      <c r="A252" s="64"/>
      <c r="B252" s="64"/>
      <c r="F252" s="64"/>
    </row>
    <row r="253" spans="1:6" ht="12.75" customHeight="1" x14ac:dyDescent="0.2">
      <c r="A253" s="64"/>
      <c r="B253" s="64"/>
      <c r="F253" s="64"/>
    </row>
    <row r="254" spans="1:6" ht="12.75" customHeight="1" x14ac:dyDescent="0.2">
      <c r="A254" s="64"/>
      <c r="B254" s="64"/>
      <c r="F254" s="64"/>
    </row>
    <row r="255" spans="1:6" ht="12.75" customHeight="1" x14ac:dyDescent="0.2">
      <c r="A255" s="64"/>
      <c r="B255" s="64"/>
      <c r="F255" s="64"/>
    </row>
    <row r="256" spans="1:6" ht="12.75" customHeight="1" x14ac:dyDescent="0.2">
      <c r="A256" s="64"/>
      <c r="B256" s="64"/>
      <c r="F256" s="64"/>
    </row>
    <row r="257" spans="1:6" ht="12.75" customHeight="1" x14ac:dyDescent="0.2">
      <c r="A257" s="64"/>
      <c r="B257" s="64"/>
      <c r="F257" s="64"/>
    </row>
    <row r="258" spans="1:6" ht="12.75" customHeight="1" x14ac:dyDescent="0.2">
      <c r="A258" s="64"/>
      <c r="B258" s="64"/>
      <c r="F258" s="64"/>
    </row>
    <row r="259" spans="1:6" ht="12.75" customHeight="1" x14ac:dyDescent="0.2">
      <c r="A259" s="64"/>
      <c r="B259" s="64"/>
      <c r="F259" s="64"/>
    </row>
    <row r="260" spans="1:6" ht="12.75" customHeight="1" x14ac:dyDescent="0.2">
      <c r="A260" s="64"/>
      <c r="B260" s="64"/>
      <c r="F260" s="64"/>
    </row>
    <row r="261" spans="1:6" ht="12.75" customHeight="1" x14ac:dyDescent="0.2">
      <c r="A261" s="64"/>
      <c r="B261" s="64"/>
      <c r="F261" s="64"/>
    </row>
    <row r="262" spans="1:6" ht="12.75" customHeight="1" x14ac:dyDescent="0.2">
      <c r="A262" s="64"/>
      <c r="B262" s="64"/>
      <c r="F262" s="64"/>
    </row>
    <row r="263" spans="1:6" ht="12.75" customHeight="1" x14ac:dyDescent="0.2">
      <c r="A263" s="64"/>
      <c r="B263" s="64"/>
      <c r="F263" s="64"/>
    </row>
    <row r="264" spans="1:6" ht="12.75" customHeight="1" x14ac:dyDescent="0.2">
      <c r="A264" s="64"/>
      <c r="B264" s="64"/>
      <c r="F264" s="64"/>
    </row>
    <row r="265" spans="1:6" ht="12.75" customHeight="1" x14ac:dyDescent="0.2">
      <c r="A265" s="64"/>
      <c r="B265" s="64"/>
      <c r="F265" s="64"/>
    </row>
    <row r="266" spans="1:6" ht="12.75" customHeight="1" x14ac:dyDescent="0.2">
      <c r="A266" s="64"/>
      <c r="B266" s="64"/>
      <c r="F266" s="64"/>
    </row>
    <row r="267" spans="1:6" ht="12.75" customHeight="1" x14ac:dyDescent="0.2">
      <c r="A267" s="64"/>
      <c r="B267" s="64"/>
      <c r="F267" s="64"/>
    </row>
    <row r="268" spans="1:6" ht="12.75" customHeight="1" x14ac:dyDescent="0.2">
      <c r="A268" s="64"/>
      <c r="B268" s="64"/>
      <c r="F268" s="64"/>
    </row>
    <row r="269" spans="1:6" ht="12.75" customHeight="1" x14ac:dyDescent="0.2">
      <c r="A269" s="64"/>
      <c r="B269" s="64"/>
      <c r="F269" s="64"/>
    </row>
    <row r="270" spans="1:6" ht="12.75" customHeight="1" x14ac:dyDescent="0.2">
      <c r="A270" s="64"/>
      <c r="B270" s="64"/>
      <c r="F270" s="64"/>
    </row>
    <row r="271" spans="1:6" ht="12.75" customHeight="1" x14ac:dyDescent="0.2">
      <c r="A271" s="64"/>
      <c r="B271" s="64"/>
      <c r="F271" s="64"/>
    </row>
    <row r="272" spans="1:6" ht="12.75" customHeight="1" x14ac:dyDescent="0.2">
      <c r="A272" s="64"/>
      <c r="B272" s="64"/>
      <c r="F272" s="64"/>
    </row>
    <row r="273" spans="1:6" ht="12.75" customHeight="1" x14ac:dyDescent="0.2">
      <c r="A273" s="64"/>
      <c r="B273" s="64"/>
      <c r="F273" s="64"/>
    </row>
    <row r="274" spans="1:6" ht="12.75" customHeight="1" x14ac:dyDescent="0.2">
      <c r="A274" s="64"/>
      <c r="B274" s="64"/>
      <c r="F274" s="64"/>
    </row>
    <row r="275" spans="1:6" ht="12.75" customHeight="1" x14ac:dyDescent="0.2">
      <c r="A275" s="64"/>
      <c r="B275" s="64"/>
      <c r="F275" s="64"/>
    </row>
    <row r="276" spans="1:6" ht="12.75" customHeight="1" x14ac:dyDescent="0.2">
      <c r="A276" s="64"/>
      <c r="B276" s="64"/>
      <c r="F276" s="64"/>
    </row>
    <row r="277" spans="1:6" ht="12.75" customHeight="1" x14ac:dyDescent="0.2">
      <c r="A277" s="64"/>
      <c r="B277" s="64"/>
      <c r="F277" s="64"/>
    </row>
    <row r="278" spans="1:6" ht="12.75" customHeight="1" x14ac:dyDescent="0.2">
      <c r="A278" s="64"/>
      <c r="B278" s="64"/>
      <c r="F278" s="64"/>
    </row>
    <row r="279" spans="1:6" ht="12.75" customHeight="1" x14ac:dyDescent="0.2">
      <c r="A279" s="64"/>
      <c r="B279" s="64"/>
      <c r="F279" s="64"/>
    </row>
    <row r="280" spans="1:6" ht="12.75" customHeight="1" x14ac:dyDescent="0.2">
      <c r="A280" s="64"/>
      <c r="B280" s="64"/>
      <c r="F280" s="64"/>
    </row>
    <row r="281" spans="1:6" ht="12.75" customHeight="1" x14ac:dyDescent="0.2">
      <c r="A281" s="64"/>
      <c r="B281" s="64"/>
      <c r="F281" s="64"/>
    </row>
    <row r="282" spans="1:6" ht="12.75" customHeight="1" x14ac:dyDescent="0.2">
      <c r="A282" s="64"/>
      <c r="B282" s="64"/>
      <c r="F282" s="64"/>
    </row>
    <row r="283" spans="1:6" ht="12.75" customHeight="1" x14ac:dyDescent="0.2">
      <c r="A283" s="64"/>
      <c r="B283" s="64"/>
      <c r="F283" s="64"/>
    </row>
    <row r="284" spans="1:6" ht="12.75" customHeight="1" x14ac:dyDescent="0.2">
      <c r="A284" s="64"/>
      <c r="B284" s="64"/>
      <c r="F284" s="64"/>
    </row>
    <row r="285" spans="1:6" ht="12.75" customHeight="1" x14ac:dyDescent="0.2">
      <c r="A285" s="64"/>
      <c r="B285" s="64"/>
      <c r="F285" s="64"/>
    </row>
    <row r="286" spans="1:6" ht="12.75" customHeight="1" x14ac:dyDescent="0.2">
      <c r="A286" s="64"/>
      <c r="B286" s="64"/>
      <c r="F286" s="64"/>
    </row>
    <row r="287" spans="1:6" ht="12.75" customHeight="1" x14ac:dyDescent="0.2">
      <c r="A287" s="64"/>
      <c r="B287" s="64"/>
      <c r="F287" s="64"/>
    </row>
    <row r="288" spans="1:6" ht="12.75" customHeight="1" x14ac:dyDescent="0.2">
      <c r="A288" s="64"/>
      <c r="B288" s="64"/>
      <c r="F288" s="64"/>
    </row>
    <row r="289" spans="1:6" ht="12.75" customHeight="1" x14ac:dyDescent="0.2">
      <c r="A289" s="64"/>
      <c r="B289" s="64"/>
      <c r="F289" s="64"/>
    </row>
    <row r="290" spans="1:6" ht="12.75" customHeight="1" x14ac:dyDescent="0.2">
      <c r="A290" s="64"/>
      <c r="B290" s="64"/>
      <c r="F290" s="64"/>
    </row>
    <row r="291" spans="1:6" ht="12.75" customHeight="1" x14ac:dyDescent="0.2">
      <c r="A291" s="64"/>
      <c r="B291" s="64"/>
      <c r="F291" s="64"/>
    </row>
    <row r="292" spans="1:6" ht="12.75" customHeight="1" x14ac:dyDescent="0.2">
      <c r="A292" s="64"/>
      <c r="B292" s="64"/>
      <c r="F292" s="64"/>
    </row>
    <row r="293" spans="1:6" ht="12.75" customHeight="1" x14ac:dyDescent="0.2">
      <c r="A293" s="64"/>
      <c r="B293" s="64"/>
      <c r="F293" s="64"/>
    </row>
    <row r="294" spans="1:6" ht="12.75" customHeight="1" x14ac:dyDescent="0.2">
      <c r="A294" s="64"/>
      <c r="B294" s="64"/>
      <c r="F294" s="64"/>
    </row>
    <row r="295" spans="1:6" ht="12.75" customHeight="1" x14ac:dyDescent="0.2">
      <c r="A295" s="64"/>
      <c r="B295" s="64"/>
      <c r="F295" s="64"/>
    </row>
    <row r="296" spans="1:6" ht="12.75" customHeight="1" x14ac:dyDescent="0.2">
      <c r="A296" s="64"/>
      <c r="B296" s="64"/>
      <c r="F296" s="64"/>
    </row>
    <row r="297" spans="1:6" ht="12.75" customHeight="1" x14ac:dyDescent="0.2">
      <c r="A297" s="64"/>
      <c r="B297" s="64"/>
      <c r="F297" s="64"/>
    </row>
    <row r="298" spans="1:6" ht="12.75" customHeight="1" x14ac:dyDescent="0.2">
      <c r="A298" s="64"/>
      <c r="B298" s="64"/>
      <c r="F298" s="64"/>
    </row>
    <row r="299" spans="1:6" ht="12.75" customHeight="1" x14ac:dyDescent="0.2">
      <c r="A299" s="64"/>
      <c r="B299" s="64"/>
      <c r="F299" s="64"/>
    </row>
    <row r="300" spans="1:6" ht="12.75" customHeight="1" x14ac:dyDescent="0.2">
      <c r="A300" s="64"/>
      <c r="B300" s="64"/>
      <c r="F300" s="64"/>
    </row>
    <row r="301" spans="1:6" ht="12.75" customHeight="1" x14ac:dyDescent="0.2">
      <c r="A301" s="64"/>
      <c r="B301" s="64"/>
      <c r="F301" s="64"/>
    </row>
    <row r="302" spans="1:6" ht="12.75" customHeight="1" x14ac:dyDescent="0.2">
      <c r="A302" s="64"/>
      <c r="B302" s="64"/>
      <c r="F302" s="64"/>
    </row>
    <row r="303" spans="1:6" ht="12.75" customHeight="1" x14ac:dyDescent="0.2">
      <c r="A303" s="64"/>
      <c r="B303" s="64"/>
      <c r="F303" s="64"/>
    </row>
    <row r="304" spans="1:6" ht="12.75" customHeight="1" x14ac:dyDescent="0.2">
      <c r="A304" s="64"/>
      <c r="B304" s="64"/>
      <c r="F304" s="64"/>
    </row>
    <row r="305" spans="1:6" ht="12.75" customHeight="1" x14ac:dyDescent="0.2">
      <c r="A305" s="64"/>
      <c r="B305" s="64"/>
      <c r="F305" s="64"/>
    </row>
    <row r="306" spans="1:6" ht="12.75" customHeight="1" x14ac:dyDescent="0.2">
      <c r="A306" s="64"/>
      <c r="B306" s="64"/>
      <c r="F306" s="64"/>
    </row>
    <row r="307" spans="1:6" ht="12.75" customHeight="1" x14ac:dyDescent="0.2">
      <c r="A307" s="64"/>
      <c r="B307" s="64"/>
      <c r="F307" s="64"/>
    </row>
    <row r="308" spans="1:6" ht="12.75" customHeight="1" x14ac:dyDescent="0.2">
      <c r="A308" s="64"/>
      <c r="B308" s="64"/>
      <c r="F308" s="64"/>
    </row>
    <row r="309" spans="1:6" ht="12.75" customHeight="1" x14ac:dyDescent="0.2">
      <c r="A309" s="64"/>
      <c r="B309" s="64"/>
      <c r="F309" s="64"/>
    </row>
    <row r="310" spans="1:6" ht="12.75" customHeight="1" x14ac:dyDescent="0.2">
      <c r="A310" s="64"/>
      <c r="B310" s="64"/>
      <c r="F310" s="64"/>
    </row>
    <row r="311" spans="1:6" ht="12.75" customHeight="1" x14ac:dyDescent="0.2">
      <c r="A311" s="64"/>
      <c r="B311" s="64"/>
      <c r="F311" s="64"/>
    </row>
    <row r="312" spans="1:6" ht="12.75" customHeight="1" x14ac:dyDescent="0.2">
      <c r="A312" s="64"/>
      <c r="B312" s="64"/>
      <c r="F312" s="64"/>
    </row>
    <row r="313" spans="1:6" ht="12.75" customHeight="1" x14ac:dyDescent="0.2">
      <c r="A313" s="64"/>
      <c r="B313" s="64"/>
      <c r="F313" s="64"/>
    </row>
    <row r="314" spans="1:6" ht="12.75" customHeight="1" x14ac:dyDescent="0.2">
      <c r="A314" s="64"/>
      <c r="B314" s="64"/>
      <c r="F314" s="64"/>
    </row>
    <row r="315" spans="1:6" ht="12.75" customHeight="1" x14ac:dyDescent="0.2">
      <c r="A315" s="64"/>
      <c r="B315" s="64"/>
      <c r="F315" s="64"/>
    </row>
    <row r="316" spans="1:6" ht="12.75" customHeight="1" x14ac:dyDescent="0.2">
      <c r="A316" s="64"/>
      <c r="B316" s="64"/>
      <c r="F316" s="64"/>
    </row>
    <row r="317" spans="1:6" ht="12.75" customHeight="1" x14ac:dyDescent="0.2">
      <c r="A317" s="64"/>
      <c r="B317" s="64"/>
      <c r="F317" s="64"/>
    </row>
    <row r="318" spans="1:6" ht="12.75" customHeight="1" x14ac:dyDescent="0.2">
      <c r="A318" s="64"/>
      <c r="B318" s="64"/>
      <c r="F318" s="64"/>
    </row>
    <row r="319" spans="1:6" ht="12.75" customHeight="1" x14ac:dyDescent="0.2">
      <c r="A319" s="64"/>
      <c r="B319" s="64"/>
      <c r="F319" s="64"/>
    </row>
    <row r="320" spans="1:6" ht="12.75" customHeight="1" x14ac:dyDescent="0.2">
      <c r="A320" s="64"/>
      <c r="B320" s="64"/>
      <c r="F320" s="64"/>
    </row>
    <row r="321" spans="1:6" ht="12.75" customHeight="1" x14ac:dyDescent="0.2">
      <c r="A321" s="64"/>
      <c r="B321" s="64"/>
      <c r="F321" s="64"/>
    </row>
    <row r="322" spans="1:6" ht="12.75" customHeight="1" x14ac:dyDescent="0.2">
      <c r="A322" s="64"/>
      <c r="B322" s="64"/>
      <c r="F322" s="64"/>
    </row>
    <row r="323" spans="1:6" ht="12.75" customHeight="1" x14ac:dyDescent="0.2">
      <c r="A323" s="64"/>
      <c r="B323" s="64"/>
      <c r="F323" s="64"/>
    </row>
    <row r="324" spans="1:6" ht="12.75" customHeight="1" x14ac:dyDescent="0.2">
      <c r="A324" s="64"/>
      <c r="B324" s="64"/>
      <c r="F324" s="64"/>
    </row>
    <row r="325" spans="1:6" ht="12.75" customHeight="1" x14ac:dyDescent="0.2">
      <c r="A325" s="64"/>
      <c r="B325" s="64"/>
      <c r="F325" s="64"/>
    </row>
    <row r="326" spans="1:6" ht="12.75" customHeight="1" x14ac:dyDescent="0.2">
      <c r="A326" s="64"/>
      <c r="B326" s="64"/>
      <c r="F326" s="64"/>
    </row>
    <row r="327" spans="1:6" ht="12.75" customHeight="1" x14ac:dyDescent="0.2">
      <c r="A327" s="64"/>
      <c r="B327" s="64"/>
      <c r="F327" s="64"/>
    </row>
    <row r="328" spans="1:6" ht="12.75" customHeight="1" x14ac:dyDescent="0.2">
      <c r="A328" s="64"/>
      <c r="B328" s="64"/>
      <c r="F328" s="64"/>
    </row>
    <row r="329" spans="1:6" ht="12.75" customHeight="1" x14ac:dyDescent="0.2">
      <c r="A329" s="64"/>
      <c r="B329" s="64"/>
      <c r="F329" s="64"/>
    </row>
    <row r="330" spans="1:6" ht="12.75" customHeight="1" x14ac:dyDescent="0.2">
      <c r="A330" s="64"/>
      <c r="B330" s="64"/>
      <c r="F330" s="64"/>
    </row>
    <row r="331" spans="1:6" ht="12.75" customHeight="1" x14ac:dyDescent="0.2">
      <c r="A331" s="64"/>
      <c r="B331" s="64"/>
      <c r="F331" s="64"/>
    </row>
    <row r="332" spans="1:6" ht="12.75" customHeight="1" x14ac:dyDescent="0.2">
      <c r="A332" s="64"/>
      <c r="B332" s="64"/>
      <c r="F332" s="64"/>
    </row>
    <row r="333" spans="1:6" ht="12.75" customHeight="1" x14ac:dyDescent="0.2">
      <c r="A333" s="64"/>
      <c r="B333" s="64"/>
      <c r="F333" s="64"/>
    </row>
    <row r="334" spans="1:6" ht="12.75" customHeight="1" x14ac:dyDescent="0.2">
      <c r="A334" s="64"/>
      <c r="B334" s="64"/>
      <c r="F334" s="64"/>
    </row>
    <row r="335" spans="1:6" ht="12.75" customHeight="1" x14ac:dyDescent="0.2">
      <c r="A335" s="64"/>
      <c r="B335" s="64"/>
      <c r="F335" s="64"/>
    </row>
    <row r="336" spans="1:6" ht="12.75" customHeight="1" x14ac:dyDescent="0.2">
      <c r="A336" s="64"/>
      <c r="B336" s="64"/>
      <c r="F336" s="64"/>
    </row>
    <row r="337" spans="1:6" ht="12.75" customHeight="1" x14ac:dyDescent="0.2">
      <c r="A337" s="64"/>
      <c r="B337" s="64"/>
      <c r="F337" s="64"/>
    </row>
    <row r="338" spans="1:6" ht="12.75" customHeight="1" x14ac:dyDescent="0.2">
      <c r="A338" s="64"/>
      <c r="B338" s="64"/>
      <c r="F338" s="64"/>
    </row>
    <row r="339" spans="1:6" ht="12.75" customHeight="1" x14ac:dyDescent="0.2">
      <c r="A339" s="64"/>
      <c r="B339" s="64"/>
      <c r="F339" s="64"/>
    </row>
    <row r="340" spans="1:6" ht="12.75" customHeight="1" x14ac:dyDescent="0.2">
      <c r="A340" s="64"/>
      <c r="B340" s="64"/>
      <c r="F340" s="64"/>
    </row>
    <row r="341" spans="1:6" ht="12.75" customHeight="1" x14ac:dyDescent="0.2">
      <c r="A341" s="64"/>
      <c r="B341" s="64"/>
      <c r="F341" s="64"/>
    </row>
    <row r="342" spans="1:6" ht="12.75" customHeight="1" x14ac:dyDescent="0.2">
      <c r="A342" s="64"/>
      <c r="B342" s="64"/>
      <c r="F342" s="64"/>
    </row>
    <row r="343" spans="1:6" ht="12.75" customHeight="1" x14ac:dyDescent="0.2">
      <c r="A343" s="64"/>
      <c r="B343" s="64"/>
      <c r="F343" s="64"/>
    </row>
    <row r="344" spans="1:6" ht="12.75" customHeight="1" x14ac:dyDescent="0.2">
      <c r="A344" s="64"/>
      <c r="B344" s="64"/>
      <c r="F344" s="64"/>
    </row>
    <row r="345" spans="1:6" ht="12.75" customHeight="1" x14ac:dyDescent="0.2">
      <c r="A345" s="64"/>
      <c r="B345" s="64"/>
      <c r="F345" s="64"/>
    </row>
    <row r="346" spans="1:6" ht="12.75" customHeight="1" x14ac:dyDescent="0.2">
      <c r="A346" s="64"/>
      <c r="B346" s="64"/>
      <c r="F346" s="64"/>
    </row>
    <row r="347" spans="1:6" ht="12.75" customHeight="1" x14ac:dyDescent="0.2">
      <c r="A347" s="64"/>
      <c r="B347" s="64"/>
      <c r="F347" s="64"/>
    </row>
    <row r="348" spans="1:6" ht="12.75" customHeight="1" x14ac:dyDescent="0.2">
      <c r="A348" s="64"/>
      <c r="B348" s="64"/>
      <c r="F348" s="64"/>
    </row>
    <row r="349" spans="1:6" ht="12.75" customHeight="1" x14ac:dyDescent="0.2">
      <c r="A349" s="64"/>
      <c r="B349" s="64"/>
      <c r="F349" s="64"/>
    </row>
    <row r="350" spans="1:6" ht="12.75" customHeight="1" x14ac:dyDescent="0.2">
      <c r="A350" s="64"/>
      <c r="B350" s="64"/>
      <c r="F350" s="64"/>
    </row>
    <row r="351" spans="1:6" ht="12.75" customHeight="1" x14ac:dyDescent="0.2">
      <c r="A351" s="64"/>
      <c r="B351" s="64"/>
      <c r="F351" s="64"/>
    </row>
    <row r="352" spans="1:6" ht="12.75" customHeight="1" x14ac:dyDescent="0.2">
      <c r="A352" s="64"/>
      <c r="B352" s="64"/>
      <c r="F352" s="64"/>
    </row>
    <row r="353" spans="1:6" ht="12.75" customHeight="1" x14ac:dyDescent="0.2">
      <c r="A353" s="64"/>
      <c r="B353" s="64"/>
      <c r="F353" s="64"/>
    </row>
    <row r="354" spans="1:6" ht="12.75" customHeight="1" x14ac:dyDescent="0.2">
      <c r="A354" s="64"/>
      <c r="B354" s="64"/>
      <c r="F354" s="64"/>
    </row>
    <row r="355" spans="1:6" ht="12.75" customHeight="1" x14ac:dyDescent="0.2">
      <c r="A355" s="64"/>
      <c r="B355" s="64"/>
      <c r="F355" s="64"/>
    </row>
    <row r="356" spans="1:6" ht="12.75" customHeight="1" x14ac:dyDescent="0.2">
      <c r="A356" s="64"/>
      <c r="B356" s="64"/>
      <c r="F356" s="64"/>
    </row>
    <row r="357" spans="1:6" ht="12.75" customHeight="1" x14ac:dyDescent="0.2">
      <c r="A357" s="64"/>
      <c r="B357" s="64"/>
      <c r="F357" s="64"/>
    </row>
    <row r="358" spans="1:6" ht="12.75" customHeight="1" x14ac:dyDescent="0.2">
      <c r="A358" s="64"/>
      <c r="B358" s="64"/>
      <c r="F358" s="64"/>
    </row>
    <row r="359" spans="1:6" ht="12.75" customHeight="1" x14ac:dyDescent="0.2">
      <c r="A359" s="64"/>
      <c r="B359" s="64"/>
      <c r="F359" s="64"/>
    </row>
    <row r="360" spans="1:6" ht="12.75" customHeight="1" x14ac:dyDescent="0.2">
      <c r="A360" s="64"/>
      <c r="B360" s="64"/>
      <c r="F360" s="64"/>
    </row>
    <row r="361" spans="1:6" ht="12.75" customHeight="1" x14ac:dyDescent="0.2">
      <c r="A361" s="64"/>
      <c r="B361" s="64"/>
      <c r="F361" s="64"/>
    </row>
    <row r="362" spans="1:6" ht="12.75" customHeight="1" x14ac:dyDescent="0.2">
      <c r="A362" s="64"/>
      <c r="B362" s="64"/>
      <c r="F362" s="64"/>
    </row>
    <row r="363" spans="1:6" ht="12.75" customHeight="1" x14ac:dyDescent="0.2">
      <c r="A363" s="64"/>
      <c r="B363" s="64"/>
      <c r="F363" s="64"/>
    </row>
    <row r="364" spans="1:6" ht="12.75" customHeight="1" x14ac:dyDescent="0.2">
      <c r="A364" s="64"/>
      <c r="B364" s="64"/>
      <c r="F364" s="64"/>
    </row>
    <row r="365" spans="1:6" ht="12.75" customHeight="1" x14ac:dyDescent="0.2">
      <c r="A365" s="64"/>
      <c r="B365" s="64"/>
      <c r="F365" s="64"/>
    </row>
    <row r="366" spans="1:6" ht="12.75" customHeight="1" x14ac:dyDescent="0.2">
      <c r="A366" s="64"/>
      <c r="B366" s="64"/>
      <c r="F366" s="64"/>
    </row>
    <row r="367" spans="1:6" ht="12.75" customHeight="1" x14ac:dyDescent="0.2">
      <c r="A367" s="64"/>
      <c r="B367" s="64"/>
      <c r="F367" s="64"/>
    </row>
    <row r="368" spans="1:6" ht="12.75" customHeight="1" x14ac:dyDescent="0.2">
      <c r="A368" s="64"/>
      <c r="B368" s="64"/>
      <c r="F368" s="64"/>
    </row>
    <row r="369" spans="1:6" ht="12.75" customHeight="1" x14ac:dyDescent="0.2">
      <c r="A369" s="64"/>
      <c r="B369" s="64"/>
      <c r="F369" s="64"/>
    </row>
    <row r="370" spans="1:6" ht="12.75" customHeight="1" x14ac:dyDescent="0.2">
      <c r="A370" s="64"/>
      <c r="B370" s="64"/>
      <c r="F370" s="64"/>
    </row>
    <row r="371" spans="1:6" ht="12.75" customHeight="1" x14ac:dyDescent="0.2">
      <c r="A371" s="64"/>
      <c r="B371" s="64"/>
      <c r="F371" s="64"/>
    </row>
    <row r="372" spans="1:6" ht="12.75" customHeight="1" x14ac:dyDescent="0.2">
      <c r="A372" s="64"/>
      <c r="B372" s="64"/>
      <c r="F372" s="64"/>
    </row>
    <row r="373" spans="1:6" ht="12.75" customHeight="1" x14ac:dyDescent="0.2">
      <c r="A373" s="64"/>
      <c r="B373" s="64"/>
      <c r="F373" s="64"/>
    </row>
    <row r="374" spans="1:6" ht="12.75" customHeight="1" x14ac:dyDescent="0.2">
      <c r="A374" s="64"/>
      <c r="B374" s="64"/>
      <c r="F374" s="64"/>
    </row>
    <row r="375" spans="1:6" ht="12.75" customHeight="1" x14ac:dyDescent="0.2">
      <c r="A375" s="64"/>
      <c r="B375" s="64"/>
      <c r="F375" s="64"/>
    </row>
    <row r="376" spans="1:6" ht="12.75" customHeight="1" x14ac:dyDescent="0.2">
      <c r="A376" s="64"/>
      <c r="B376" s="64"/>
      <c r="F376" s="64"/>
    </row>
    <row r="377" spans="1:6" ht="12.75" customHeight="1" x14ac:dyDescent="0.2">
      <c r="A377" s="64"/>
      <c r="B377" s="64"/>
      <c r="F377" s="64"/>
    </row>
    <row r="378" spans="1:6" ht="12.75" customHeight="1" x14ac:dyDescent="0.2">
      <c r="A378" s="64"/>
      <c r="B378" s="64"/>
      <c r="F378" s="64"/>
    </row>
    <row r="379" spans="1:6" ht="12.75" customHeight="1" x14ac:dyDescent="0.2">
      <c r="A379" s="64"/>
      <c r="B379" s="64"/>
      <c r="F379" s="64"/>
    </row>
    <row r="380" spans="1:6" ht="12.75" customHeight="1" x14ac:dyDescent="0.2">
      <c r="A380" s="64"/>
      <c r="B380" s="64"/>
      <c r="F380" s="64"/>
    </row>
    <row r="381" spans="1:6" ht="12.75" customHeight="1" x14ac:dyDescent="0.2">
      <c r="A381" s="64"/>
      <c r="B381" s="64"/>
      <c r="F381" s="64"/>
    </row>
    <row r="382" spans="1:6" ht="12.75" customHeight="1" x14ac:dyDescent="0.2">
      <c r="A382" s="64"/>
      <c r="B382" s="64"/>
      <c r="F382" s="64"/>
    </row>
    <row r="383" spans="1:6" ht="12.75" customHeight="1" x14ac:dyDescent="0.2">
      <c r="A383" s="64"/>
      <c r="B383" s="64"/>
      <c r="F383" s="64"/>
    </row>
    <row r="384" spans="1:6" ht="12.75" customHeight="1" x14ac:dyDescent="0.2">
      <c r="A384" s="64"/>
      <c r="B384" s="64"/>
      <c r="F384" s="64"/>
    </row>
    <row r="385" spans="1:6" ht="12.75" customHeight="1" x14ac:dyDescent="0.2">
      <c r="A385" s="64"/>
      <c r="B385" s="64"/>
      <c r="F385" s="64"/>
    </row>
    <row r="386" spans="1:6" ht="12.75" customHeight="1" x14ac:dyDescent="0.2">
      <c r="A386" s="64"/>
      <c r="B386" s="64"/>
      <c r="F386" s="64"/>
    </row>
    <row r="387" spans="1:6" ht="12.75" customHeight="1" x14ac:dyDescent="0.2">
      <c r="A387" s="64"/>
      <c r="B387" s="64"/>
      <c r="F387" s="64"/>
    </row>
    <row r="388" spans="1:6" ht="12.75" customHeight="1" x14ac:dyDescent="0.2">
      <c r="A388" s="64"/>
      <c r="B388" s="64"/>
      <c r="F388" s="64"/>
    </row>
    <row r="389" spans="1:6" ht="12.75" customHeight="1" x14ac:dyDescent="0.2">
      <c r="A389" s="64"/>
      <c r="B389" s="64"/>
      <c r="F389" s="64"/>
    </row>
    <row r="390" spans="1:6" ht="12.75" customHeight="1" x14ac:dyDescent="0.2">
      <c r="A390" s="64"/>
      <c r="B390" s="64"/>
      <c r="F390" s="64"/>
    </row>
    <row r="391" spans="1:6" ht="12.75" customHeight="1" x14ac:dyDescent="0.2">
      <c r="A391" s="64"/>
      <c r="B391" s="64"/>
      <c r="F391" s="64"/>
    </row>
    <row r="392" spans="1:6" ht="12.75" customHeight="1" x14ac:dyDescent="0.2">
      <c r="A392" s="64"/>
      <c r="B392" s="64"/>
      <c r="F392" s="64"/>
    </row>
    <row r="393" spans="1:6" ht="12.75" customHeight="1" x14ac:dyDescent="0.2">
      <c r="A393" s="64"/>
      <c r="B393" s="64"/>
      <c r="F393" s="64"/>
    </row>
    <row r="394" spans="1:6" ht="12.75" customHeight="1" x14ac:dyDescent="0.2">
      <c r="A394" s="64"/>
      <c r="B394" s="64"/>
      <c r="F394" s="64"/>
    </row>
    <row r="395" spans="1:6" ht="12.75" customHeight="1" x14ac:dyDescent="0.2">
      <c r="A395" s="64"/>
      <c r="B395" s="64"/>
      <c r="F395" s="64"/>
    </row>
    <row r="396" spans="1:6" ht="12.75" customHeight="1" x14ac:dyDescent="0.2">
      <c r="A396" s="64"/>
      <c r="B396" s="64"/>
      <c r="F396" s="64"/>
    </row>
    <row r="397" spans="1:6" ht="12.75" customHeight="1" x14ac:dyDescent="0.2">
      <c r="A397" s="64"/>
      <c r="B397" s="64"/>
      <c r="F397" s="64"/>
    </row>
    <row r="398" spans="1:6" ht="12.75" customHeight="1" x14ac:dyDescent="0.2">
      <c r="A398" s="64"/>
      <c r="B398" s="64"/>
      <c r="F398" s="64"/>
    </row>
    <row r="399" spans="1:6" ht="12.75" customHeight="1" x14ac:dyDescent="0.2">
      <c r="A399" s="64"/>
      <c r="B399" s="64"/>
      <c r="F399" s="64"/>
    </row>
    <row r="400" spans="1:6" ht="12.75" customHeight="1" x14ac:dyDescent="0.2">
      <c r="A400" s="64"/>
      <c r="B400" s="64"/>
      <c r="F400" s="64"/>
    </row>
    <row r="401" spans="1:6" ht="12.75" customHeight="1" x14ac:dyDescent="0.2">
      <c r="A401" s="64"/>
      <c r="B401" s="64"/>
      <c r="F401" s="64"/>
    </row>
    <row r="402" spans="1:6" ht="12.75" customHeight="1" x14ac:dyDescent="0.2">
      <c r="A402" s="64"/>
      <c r="B402" s="64"/>
      <c r="F402" s="64"/>
    </row>
    <row r="403" spans="1:6" ht="12.75" customHeight="1" x14ac:dyDescent="0.2">
      <c r="A403" s="64"/>
      <c r="B403" s="64"/>
      <c r="F403" s="64"/>
    </row>
    <row r="404" spans="1:6" ht="12.75" customHeight="1" x14ac:dyDescent="0.2">
      <c r="A404" s="64"/>
      <c r="B404" s="64"/>
      <c r="F404" s="64"/>
    </row>
    <row r="405" spans="1:6" ht="12.75" customHeight="1" x14ac:dyDescent="0.2">
      <c r="A405" s="64"/>
      <c r="B405" s="64"/>
      <c r="F405" s="64"/>
    </row>
    <row r="406" spans="1:6" ht="12.75" customHeight="1" x14ac:dyDescent="0.2">
      <c r="A406" s="64"/>
      <c r="B406" s="64"/>
      <c r="F406" s="64"/>
    </row>
    <row r="407" spans="1:6" ht="12.75" customHeight="1" x14ac:dyDescent="0.2">
      <c r="A407" s="64"/>
      <c r="B407" s="64"/>
      <c r="F407" s="64"/>
    </row>
    <row r="408" spans="1:6" ht="12.75" customHeight="1" x14ac:dyDescent="0.2">
      <c r="A408" s="64"/>
      <c r="B408" s="64"/>
      <c r="F408" s="64"/>
    </row>
    <row r="409" spans="1:6" ht="12.75" customHeight="1" x14ac:dyDescent="0.2">
      <c r="A409" s="64"/>
      <c r="B409" s="64"/>
      <c r="F409" s="64"/>
    </row>
    <row r="410" spans="1:6" ht="12.75" customHeight="1" x14ac:dyDescent="0.2">
      <c r="A410" s="64"/>
      <c r="B410" s="64"/>
      <c r="F410" s="64"/>
    </row>
    <row r="411" spans="1:6" ht="12.75" customHeight="1" x14ac:dyDescent="0.2">
      <c r="A411" s="64"/>
      <c r="B411" s="64"/>
      <c r="F411" s="64"/>
    </row>
    <row r="412" spans="1:6" ht="12.75" customHeight="1" x14ac:dyDescent="0.2">
      <c r="A412" s="64"/>
      <c r="B412" s="64"/>
      <c r="F412" s="64"/>
    </row>
    <row r="413" spans="1:6" ht="12.75" customHeight="1" x14ac:dyDescent="0.2">
      <c r="A413" s="64"/>
      <c r="B413" s="64"/>
      <c r="F413" s="64"/>
    </row>
    <row r="414" spans="1:6" ht="12.75" customHeight="1" x14ac:dyDescent="0.2">
      <c r="A414" s="64"/>
      <c r="B414" s="64"/>
      <c r="F414" s="64"/>
    </row>
    <row r="415" spans="1:6" ht="12.75" customHeight="1" x14ac:dyDescent="0.2">
      <c r="A415" s="64"/>
      <c r="B415" s="64"/>
      <c r="F415" s="64"/>
    </row>
    <row r="416" spans="1:6" ht="12.75" customHeight="1" x14ac:dyDescent="0.2">
      <c r="A416" s="64"/>
      <c r="B416" s="64"/>
      <c r="F416" s="64"/>
    </row>
    <row r="417" spans="1:6" ht="12.75" customHeight="1" x14ac:dyDescent="0.2">
      <c r="A417" s="64"/>
      <c r="B417" s="64"/>
      <c r="F417" s="64"/>
    </row>
    <row r="418" spans="1:6" ht="12.75" customHeight="1" x14ac:dyDescent="0.2">
      <c r="A418" s="64"/>
      <c r="B418" s="64"/>
      <c r="F418" s="64"/>
    </row>
    <row r="419" spans="1:6" ht="12.75" customHeight="1" x14ac:dyDescent="0.2">
      <c r="A419" s="64"/>
      <c r="B419" s="64"/>
      <c r="F419" s="64"/>
    </row>
    <row r="420" spans="1:6" ht="12.75" customHeight="1" x14ac:dyDescent="0.2">
      <c r="A420" s="64"/>
      <c r="B420" s="64"/>
      <c r="F420" s="64"/>
    </row>
    <row r="421" spans="1:6" ht="12.75" customHeight="1" x14ac:dyDescent="0.2">
      <c r="A421" s="64"/>
      <c r="B421" s="64"/>
      <c r="F421" s="64"/>
    </row>
    <row r="422" spans="1:6" ht="12.75" customHeight="1" x14ac:dyDescent="0.2">
      <c r="A422" s="64"/>
      <c r="B422" s="64"/>
      <c r="F422" s="64"/>
    </row>
    <row r="423" spans="1:6" ht="12.75" customHeight="1" x14ac:dyDescent="0.2">
      <c r="A423" s="64"/>
      <c r="B423" s="64"/>
      <c r="F423" s="64"/>
    </row>
    <row r="424" spans="1:6" ht="12.75" customHeight="1" x14ac:dyDescent="0.2">
      <c r="A424" s="64"/>
      <c r="B424" s="64"/>
      <c r="F424" s="64"/>
    </row>
    <row r="425" spans="1:6" ht="12.75" customHeight="1" x14ac:dyDescent="0.2">
      <c r="A425" s="64"/>
      <c r="B425" s="64"/>
      <c r="F425" s="64"/>
    </row>
    <row r="426" spans="1:6" ht="12.75" customHeight="1" x14ac:dyDescent="0.2">
      <c r="A426" s="64"/>
      <c r="B426" s="64"/>
      <c r="F426" s="64"/>
    </row>
    <row r="427" spans="1:6" ht="12.75" customHeight="1" x14ac:dyDescent="0.2">
      <c r="A427" s="64"/>
      <c r="B427" s="64"/>
      <c r="F427" s="64"/>
    </row>
    <row r="428" spans="1:6" ht="12.75" customHeight="1" x14ac:dyDescent="0.2">
      <c r="A428" s="64"/>
      <c r="B428" s="64"/>
      <c r="F428" s="64"/>
    </row>
    <row r="429" spans="1:6" ht="12.75" customHeight="1" x14ac:dyDescent="0.2">
      <c r="A429" s="64"/>
      <c r="B429" s="64"/>
      <c r="F429" s="64"/>
    </row>
    <row r="430" spans="1:6" ht="12.75" customHeight="1" x14ac:dyDescent="0.2">
      <c r="A430" s="64"/>
      <c r="B430" s="64"/>
      <c r="F430" s="64"/>
    </row>
    <row r="431" spans="1:6" ht="12.75" customHeight="1" x14ac:dyDescent="0.2">
      <c r="A431" s="64"/>
      <c r="B431" s="64"/>
      <c r="F431" s="64"/>
    </row>
    <row r="432" spans="1:6" ht="12.75" customHeight="1" x14ac:dyDescent="0.2">
      <c r="A432" s="64"/>
      <c r="B432" s="64"/>
      <c r="F432" s="64"/>
    </row>
    <row r="433" spans="1:6" ht="12.75" customHeight="1" x14ac:dyDescent="0.2">
      <c r="A433" s="64"/>
      <c r="B433" s="64"/>
      <c r="F433" s="64"/>
    </row>
    <row r="434" spans="1:6" ht="12.75" customHeight="1" x14ac:dyDescent="0.2">
      <c r="A434" s="64"/>
      <c r="B434" s="64"/>
      <c r="F434" s="64"/>
    </row>
    <row r="435" spans="1:6" ht="12.75" customHeight="1" x14ac:dyDescent="0.2">
      <c r="A435" s="64"/>
      <c r="B435" s="64"/>
      <c r="F435" s="64"/>
    </row>
    <row r="436" spans="1:6" ht="12.75" customHeight="1" x14ac:dyDescent="0.2">
      <c r="A436" s="64"/>
      <c r="B436" s="64"/>
      <c r="F436" s="64"/>
    </row>
    <row r="437" spans="1:6" ht="12.75" customHeight="1" x14ac:dyDescent="0.2">
      <c r="A437" s="64"/>
      <c r="B437" s="64"/>
      <c r="F437" s="64"/>
    </row>
    <row r="438" spans="1:6" ht="12.75" customHeight="1" x14ac:dyDescent="0.2">
      <c r="A438" s="64"/>
      <c r="B438" s="64"/>
      <c r="F438" s="64"/>
    </row>
    <row r="439" spans="1:6" ht="12.75" customHeight="1" x14ac:dyDescent="0.2">
      <c r="A439" s="64"/>
      <c r="B439" s="64"/>
      <c r="F439" s="64"/>
    </row>
    <row r="440" spans="1:6" ht="12.75" customHeight="1" x14ac:dyDescent="0.2">
      <c r="A440" s="64"/>
      <c r="B440" s="64"/>
      <c r="F440" s="64"/>
    </row>
    <row r="441" spans="1:6" ht="12.75" customHeight="1" x14ac:dyDescent="0.2">
      <c r="A441" s="64"/>
      <c r="B441" s="64"/>
      <c r="F441" s="64"/>
    </row>
    <row r="442" spans="1:6" ht="12.75" customHeight="1" x14ac:dyDescent="0.2">
      <c r="A442" s="64"/>
      <c r="B442" s="64"/>
      <c r="F442" s="64"/>
    </row>
    <row r="443" spans="1:6" ht="12.75" customHeight="1" x14ac:dyDescent="0.2">
      <c r="A443" s="64"/>
      <c r="B443" s="64"/>
      <c r="F443" s="64"/>
    </row>
    <row r="444" spans="1:6" ht="12.75" customHeight="1" x14ac:dyDescent="0.2">
      <c r="A444" s="64"/>
      <c r="B444" s="64"/>
      <c r="F444" s="64"/>
    </row>
    <row r="445" spans="1:6" ht="12.75" customHeight="1" x14ac:dyDescent="0.2">
      <c r="A445" s="64"/>
      <c r="B445" s="64"/>
      <c r="F445" s="64"/>
    </row>
    <row r="446" spans="1:6" ht="12.75" customHeight="1" x14ac:dyDescent="0.2">
      <c r="A446" s="64"/>
      <c r="B446" s="64"/>
      <c r="F446" s="64"/>
    </row>
    <row r="447" spans="1:6" ht="12.75" customHeight="1" x14ac:dyDescent="0.2">
      <c r="A447" s="64"/>
      <c r="B447" s="64"/>
      <c r="F447" s="64"/>
    </row>
    <row r="448" spans="1:6" ht="12.75" customHeight="1" x14ac:dyDescent="0.2">
      <c r="A448" s="64"/>
      <c r="B448" s="64"/>
      <c r="F448" s="64"/>
    </row>
    <row r="449" spans="1:6" ht="12.75" customHeight="1" x14ac:dyDescent="0.2">
      <c r="A449" s="64"/>
      <c r="B449" s="64"/>
      <c r="F449" s="64"/>
    </row>
    <row r="450" spans="1:6" ht="12.75" customHeight="1" x14ac:dyDescent="0.2">
      <c r="A450" s="64"/>
      <c r="B450" s="64"/>
      <c r="F450" s="64"/>
    </row>
    <row r="451" spans="1:6" ht="12.75" customHeight="1" x14ac:dyDescent="0.2">
      <c r="A451" s="64"/>
      <c r="B451" s="64"/>
      <c r="F451" s="64"/>
    </row>
    <row r="452" spans="1:6" ht="12.75" customHeight="1" x14ac:dyDescent="0.2">
      <c r="A452" s="64"/>
      <c r="B452" s="64"/>
      <c r="F452" s="64"/>
    </row>
    <row r="453" spans="1:6" ht="12.75" customHeight="1" x14ac:dyDescent="0.2">
      <c r="A453" s="64"/>
      <c r="B453" s="64"/>
      <c r="F453" s="64"/>
    </row>
    <row r="454" spans="1:6" ht="12.75" customHeight="1" x14ac:dyDescent="0.2">
      <c r="A454" s="64"/>
      <c r="B454" s="64"/>
      <c r="F454" s="64"/>
    </row>
    <row r="455" spans="1:6" ht="12.75" customHeight="1" x14ac:dyDescent="0.2">
      <c r="A455" s="64"/>
      <c r="B455" s="64"/>
      <c r="F455" s="64"/>
    </row>
    <row r="456" spans="1:6" ht="12.75" customHeight="1" x14ac:dyDescent="0.2">
      <c r="A456" s="64"/>
      <c r="B456" s="64"/>
      <c r="F456" s="64"/>
    </row>
    <row r="457" spans="1:6" ht="12.75" customHeight="1" x14ac:dyDescent="0.2">
      <c r="A457" s="64"/>
      <c r="B457" s="64"/>
      <c r="F457" s="64"/>
    </row>
    <row r="458" spans="1:6" ht="12.75" customHeight="1" x14ac:dyDescent="0.2">
      <c r="A458" s="64"/>
      <c r="B458" s="64"/>
      <c r="F458" s="64"/>
    </row>
    <row r="459" spans="1:6" ht="12.75" customHeight="1" x14ac:dyDescent="0.2">
      <c r="A459" s="64"/>
      <c r="B459" s="64"/>
      <c r="F459" s="64"/>
    </row>
    <row r="460" spans="1:6" ht="12.75" customHeight="1" x14ac:dyDescent="0.2">
      <c r="A460" s="64"/>
      <c r="B460" s="64"/>
      <c r="F460" s="64"/>
    </row>
    <row r="461" spans="1:6" ht="12.75" customHeight="1" x14ac:dyDescent="0.2">
      <c r="A461" s="64"/>
      <c r="B461" s="64"/>
      <c r="F461" s="64"/>
    </row>
    <row r="462" spans="1:6" ht="12.75" customHeight="1" x14ac:dyDescent="0.2">
      <c r="A462" s="64"/>
      <c r="B462" s="64"/>
      <c r="F462" s="64"/>
    </row>
    <row r="463" spans="1:6" ht="12.75" customHeight="1" x14ac:dyDescent="0.2">
      <c r="A463" s="64"/>
      <c r="B463" s="64"/>
      <c r="F463" s="64"/>
    </row>
    <row r="464" spans="1:6" ht="12.75" customHeight="1" x14ac:dyDescent="0.2">
      <c r="A464" s="64"/>
      <c r="B464" s="64"/>
      <c r="F464" s="64"/>
    </row>
    <row r="465" spans="1:6" ht="12.75" customHeight="1" x14ac:dyDescent="0.2">
      <c r="A465" s="64"/>
      <c r="B465" s="64"/>
      <c r="F465" s="64"/>
    </row>
    <row r="466" spans="1:6" ht="12.75" customHeight="1" x14ac:dyDescent="0.2">
      <c r="A466" s="64"/>
      <c r="B466" s="64"/>
      <c r="F466" s="64"/>
    </row>
    <row r="467" spans="1:6" ht="12.75" customHeight="1" x14ac:dyDescent="0.2">
      <c r="A467" s="64"/>
      <c r="B467" s="64"/>
      <c r="F467" s="64"/>
    </row>
    <row r="468" spans="1:6" ht="12.75" customHeight="1" x14ac:dyDescent="0.2">
      <c r="A468" s="64"/>
      <c r="B468" s="64"/>
      <c r="F468" s="64"/>
    </row>
    <row r="469" spans="1:6" ht="12.75" customHeight="1" x14ac:dyDescent="0.2">
      <c r="A469" s="64"/>
      <c r="B469" s="64"/>
      <c r="F469" s="64"/>
    </row>
    <row r="470" spans="1:6" ht="12.75" customHeight="1" x14ac:dyDescent="0.2">
      <c r="A470" s="64"/>
      <c r="B470" s="64"/>
      <c r="F470" s="64"/>
    </row>
    <row r="471" spans="1:6" ht="12.75" customHeight="1" x14ac:dyDescent="0.2">
      <c r="A471" s="64"/>
      <c r="B471" s="64"/>
      <c r="F471" s="64"/>
    </row>
    <row r="472" spans="1:6" ht="12.75" customHeight="1" x14ac:dyDescent="0.2">
      <c r="A472" s="64"/>
      <c r="B472" s="64"/>
      <c r="F472" s="64"/>
    </row>
    <row r="473" spans="1:6" ht="12.75" customHeight="1" x14ac:dyDescent="0.2">
      <c r="A473" s="64"/>
      <c r="B473" s="64"/>
      <c r="F473" s="64"/>
    </row>
    <row r="474" spans="1:6" ht="12.75" customHeight="1" x14ac:dyDescent="0.2">
      <c r="A474" s="64"/>
      <c r="B474" s="64"/>
      <c r="F474" s="64"/>
    </row>
    <row r="475" spans="1:6" ht="12.75" customHeight="1" x14ac:dyDescent="0.2">
      <c r="A475" s="64"/>
      <c r="B475" s="64"/>
      <c r="F475" s="64"/>
    </row>
    <row r="476" spans="1:6" ht="12.75" customHeight="1" x14ac:dyDescent="0.2">
      <c r="A476" s="64"/>
      <c r="B476" s="64"/>
      <c r="F476" s="64"/>
    </row>
    <row r="477" spans="1:6" ht="12.75" customHeight="1" x14ac:dyDescent="0.2">
      <c r="A477" s="64"/>
      <c r="B477" s="64"/>
      <c r="F477" s="64"/>
    </row>
    <row r="478" spans="1:6" ht="12.75" customHeight="1" x14ac:dyDescent="0.2">
      <c r="A478" s="64"/>
      <c r="B478" s="64"/>
      <c r="F478" s="64"/>
    </row>
    <row r="479" spans="1:6" ht="12.75" customHeight="1" x14ac:dyDescent="0.2">
      <c r="A479" s="64"/>
      <c r="B479" s="64"/>
      <c r="F479" s="64"/>
    </row>
    <row r="480" spans="1:6" ht="12.75" customHeight="1" x14ac:dyDescent="0.2">
      <c r="A480" s="64"/>
      <c r="B480" s="64"/>
      <c r="F480" s="64"/>
    </row>
    <row r="481" spans="1:6" ht="12.75" customHeight="1" x14ac:dyDescent="0.2">
      <c r="A481" s="64"/>
      <c r="B481" s="64"/>
      <c r="F481" s="64"/>
    </row>
    <row r="482" spans="1:6" ht="12.75" customHeight="1" x14ac:dyDescent="0.2">
      <c r="A482" s="64"/>
      <c r="B482" s="64"/>
      <c r="F482" s="64"/>
    </row>
    <row r="483" spans="1:6" ht="12.75" customHeight="1" x14ac:dyDescent="0.2">
      <c r="A483" s="64"/>
      <c r="B483" s="64"/>
      <c r="F483" s="64"/>
    </row>
    <row r="484" spans="1:6" ht="12.75" customHeight="1" x14ac:dyDescent="0.2">
      <c r="A484" s="64"/>
      <c r="B484" s="64"/>
      <c r="F484" s="64"/>
    </row>
    <row r="485" spans="1:6" ht="12.75" customHeight="1" x14ac:dyDescent="0.2">
      <c r="A485" s="64"/>
      <c r="B485" s="64"/>
      <c r="F485" s="64"/>
    </row>
    <row r="486" spans="1:6" ht="12.75" customHeight="1" x14ac:dyDescent="0.2">
      <c r="A486" s="64"/>
      <c r="B486" s="64"/>
      <c r="F486" s="64"/>
    </row>
    <row r="487" spans="1:6" ht="12.75" customHeight="1" x14ac:dyDescent="0.2">
      <c r="A487" s="64"/>
      <c r="B487" s="64"/>
      <c r="F487" s="64"/>
    </row>
    <row r="488" spans="1:6" ht="12.75" customHeight="1" x14ac:dyDescent="0.2">
      <c r="A488" s="64"/>
      <c r="B488" s="64"/>
      <c r="F488" s="64"/>
    </row>
    <row r="489" spans="1:6" ht="12.75" customHeight="1" x14ac:dyDescent="0.2">
      <c r="A489" s="64"/>
      <c r="B489" s="64"/>
      <c r="F489" s="64"/>
    </row>
    <row r="490" spans="1:6" ht="12.75" customHeight="1" x14ac:dyDescent="0.2">
      <c r="A490" s="64"/>
      <c r="B490" s="64"/>
      <c r="F490" s="64"/>
    </row>
    <row r="491" spans="1:6" ht="12.75" customHeight="1" x14ac:dyDescent="0.2">
      <c r="A491" s="64"/>
      <c r="B491" s="64"/>
      <c r="F491" s="64"/>
    </row>
    <row r="492" spans="1:6" ht="12.75" customHeight="1" x14ac:dyDescent="0.2">
      <c r="A492" s="64"/>
      <c r="B492" s="64"/>
      <c r="F492" s="64"/>
    </row>
    <row r="493" spans="1:6" ht="12.75" customHeight="1" x14ac:dyDescent="0.2">
      <c r="A493" s="64"/>
      <c r="B493" s="64"/>
      <c r="F493" s="64"/>
    </row>
    <row r="494" spans="1:6" ht="12.75" customHeight="1" x14ac:dyDescent="0.2">
      <c r="A494" s="64"/>
      <c r="B494" s="64"/>
      <c r="F494" s="64"/>
    </row>
    <row r="495" spans="1:6" ht="12.75" customHeight="1" x14ac:dyDescent="0.2">
      <c r="A495" s="64"/>
      <c r="B495" s="64"/>
      <c r="F495" s="64"/>
    </row>
    <row r="496" spans="1:6" ht="12.75" customHeight="1" x14ac:dyDescent="0.2">
      <c r="A496" s="64"/>
      <c r="B496" s="64"/>
      <c r="F496" s="64"/>
    </row>
    <row r="497" spans="1:6" ht="12.75" customHeight="1" x14ac:dyDescent="0.2">
      <c r="A497" s="64"/>
      <c r="B497" s="64"/>
      <c r="F497" s="64"/>
    </row>
    <row r="498" spans="1:6" ht="12.75" customHeight="1" x14ac:dyDescent="0.2">
      <c r="A498" s="64"/>
      <c r="B498" s="64"/>
      <c r="F498" s="64"/>
    </row>
    <row r="499" spans="1:6" ht="12.75" customHeight="1" x14ac:dyDescent="0.2">
      <c r="A499" s="64"/>
      <c r="B499" s="64"/>
      <c r="F499" s="64"/>
    </row>
    <row r="500" spans="1:6" ht="12.75" customHeight="1" x14ac:dyDescent="0.2">
      <c r="A500" s="64"/>
      <c r="B500" s="64"/>
      <c r="F500" s="64"/>
    </row>
    <row r="501" spans="1:6" ht="12.75" customHeight="1" x14ac:dyDescent="0.2">
      <c r="A501" s="64"/>
      <c r="B501" s="64"/>
      <c r="F501" s="64"/>
    </row>
    <row r="502" spans="1:6" ht="12.75" customHeight="1" x14ac:dyDescent="0.2">
      <c r="A502" s="64"/>
      <c r="B502" s="64"/>
      <c r="F502" s="64"/>
    </row>
    <row r="503" spans="1:6" ht="12.75" customHeight="1" x14ac:dyDescent="0.2">
      <c r="A503" s="64"/>
      <c r="B503" s="64"/>
      <c r="F503" s="64"/>
    </row>
    <row r="504" spans="1:6" ht="12.75" customHeight="1" x14ac:dyDescent="0.2">
      <c r="A504" s="64"/>
      <c r="B504" s="64"/>
      <c r="F504" s="64"/>
    </row>
    <row r="505" spans="1:6" ht="12.75" customHeight="1" x14ac:dyDescent="0.2">
      <c r="A505" s="64"/>
      <c r="B505" s="64"/>
      <c r="F505" s="64"/>
    </row>
    <row r="506" spans="1:6" ht="12.75" customHeight="1" x14ac:dyDescent="0.2">
      <c r="A506" s="64"/>
      <c r="B506" s="64"/>
      <c r="F506" s="64"/>
    </row>
    <row r="507" spans="1:6" ht="12.75" customHeight="1" x14ac:dyDescent="0.2">
      <c r="A507" s="64"/>
      <c r="B507" s="64"/>
      <c r="F507" s="64"/>
    </row>
    <row r="508" spans="1:6" ht="12.75" customHeight="1" x14ac:dyDescent="0.2">
      <c r="A508" s="64"/>
      <c r="B508" s="64"/>
      <c r="F508" s="64"/>
    </row>
    <row r="509" spans="1:6" ht="12.75" customHeight="1" x14ac:dyDescent="0.2">
      <c r="A509" s="64"/>
      <c r="B509" s="64"/>
      <c r="F509" s="64"/>
    </row>
    <row r="510" spans="1:6" ht="12.75" customHeight="1" x14ac:dyDescent="0.2">
      <c r="A510" s="64"/>
      <c r="B510" s="64"/>
      <c r="F510" s="64"/>
    </row>
    <row r="511" spans="1:6" ht="12.75" customHeight="1" x14ac:dyDescent="0.2">
      <c r="A511" s="64"/>
      <c r="B511" s="64"/>
      <c r="F511" s="64"/>
    </row>
    <row r="512" spans="1:6" ht="12.75" customHeight="1" x14ac:dyDescent="0.2">
      <c r="A512" s="64"/>
      <c r="B512" s="64"/>
      <c r="F512" s="64"/>
    </row>
    <row r="513" spans="1:6" ht="12.75" customHeight="1" x14ac:dyDescent="0.2">
      <c r="A513" s="64"/>
      <c r="B513" s="64"/>
      <c r="F513" s="64"/>
    </row>
    <row r="514" spans="1:6" ht="12.75" customHeight="1" x14ac:dyDescent="0.2">
      <c r="A514" s="64"/>
      <c r="B514" s="64"/>
      <c r="F514" s="64"/>
    </row>
    <row r="515" spans="1:6" ht="12.75" customHeight="1" x14ac:dyDescent="0.2">
      <c r="A515" s="64"/>
      <c r="B515" s="64"/>
      <c r="F515" s="64"/>
    </row>
    <row r="516" spans="1:6" ht="12.75" customHeight="1" x14ac:dyDescent="0.2">
      <c r="A516" s="64"/>
      <c r="B516" s="64"/>
      <c r="F516" s="64"/>
    </row>
    <row r="517" spans="1:6" ht="12.75" customHeight="1" x14ac:dyDescent="0.2">
      <c r="A517" s="64"/>
      <c r="B517" s="64"/>
      <c r="F517" s="64"/>
    </row>
    <row r="518" spans="1:6" ht="12.75" customHeight="1" x14ac:dyDescent="0.2">
      <c r="A518" s="64"/>
      <c r="B518" s="64"/>
      <c r="F518" s="64"/>
    </row>
    <row r="519" spans="1:6" ht="12.75" customHeight="1" x14ac:dyDescent="0.2">
      <c r="A519" s="64"/>
      <c r="B519" s="64"/>
      <c r="F519" s="64"/>
    </row>
    <row r="520" spans="1:6" ht="12.75" customHeight="1" x14ac:dyDescent="0.2">
      <c r="A520" s="64"/>
      <c r="B520" s="64"/>
      <c r="F520" s="64"/>
    </row>
    <row r="521" spans="1:6" ht="12.75" customHeight="1" x14ac:dyDescent="0.2">
      <c r="A521" s="64"/>
      <c r="B521" s="64"/>
      <c r="F521" s="64"/>
    </row>
    <row r="522" spans="1:6" ht="12.75" customHeight="1" x14ac:dyDescent="0.2">
      <c r="A522" s="64"/>
      <c r="B522" s="64"/>
      <c r="F522" s="64"/>
    </row>
    <row r="523" spans="1:6" ht="12.75" customHeight="1" x14ac:dyDescent="0.2">
      <c r="A523" s="64"/>
      <c r="B523" s="64"/>
      <c r="F523" s="64"/>
    </row>
    <row r="524" spans="1:6" ht="12.75" customHeight="1" x14ac:dyDescent="0.2">
      <c r="A524" s="64"/>
      <c r="B524" s="64"/>
      <c r="F524" s="64"/>
    </row>
    <row r="525" spans="1:6" ht="12.75" customHeight="1" x14ac:dyDescent="0.2">
      <c r="A525" s="64"/>
      <c r="B525" s="64"/>
      <c r="F525" s="64"/>
    </row>
    <row r="526" spans="1:6" ht="12.75" customHeight="1" x14ac:dyDescent="0.2">
      <c r="A526" s="64"/>
      <c r="B526" s="64"/>
      <c r="F526" s="64"/>
    </row>
    <row r="527" spans="1:6" ht="12.75" customHeight="1" x14ac:dyDescent="0.2">
      <c r="A527" s="64"/>
      <c r="B527" s="64"/>
      <c r="F527" s="64"/>
    </row>
    <row r="528" spans="1:6" ht="12.75" customHeight="1" x14ac:dyDescent="0.2">
      <c r="A528" s="64"/>
      <c r="B528" s="64"/>
      <c r="F528" s="64"/>
    </row>
    <row r="529" spans="1:6" ht="12.75" customHeight="1" x14ac:dyDescent="0.2">
      <c r="A529" s="64"/>
      <c r="B529" s="64"/>
      <c r="F529" s="64"/>
    </row>
    <row r="530" spans="1:6" ht="12.75" customHeight="1" x14ac:dyDescent="0.2">
      <c r="A530" s="64"/>
      <c r="B530" s="64"/>
      <c r="F530" s="64"/>
    </row>
    <row r="531" spans="1:6" ht="12.75" customHeight="1" x14ac:dyDescent="0.2">
      <c r="A531" s="64"/>
      <c r="B531" s="64"/>
      <c r="F531" s="64"/>
    </row>
    <row r="532" spans="1:6" ht="12.75" customHeight="1" x14ac:dyDescent="0.2">
      <c r="A532" s="64"/>
      <c r="B532" s="64"/>
      <c r="F532" s="64"/>
    </row>
    <row r="533" spans="1:6" ht="12.75" customHeight="1" x14ac:dyDescent="0.2">
      <c r="A533" s="64"/>
      <c r="B533" s="64"/>
      <c r="F533" s="64"/>
    </row>
    <row r="534" spans="1:6" ht="12.75" customHeight="1" x14ac:dyDescent="0.2">
      <c r="A534" s="64"/>
      <c r="B534" s="64"/>
      <c r="F534" s="64"/>
    </row>
    <row r="535" spans="1:6" ht="12.75" customHeight="1" x14ac:dyDescent="0.2">
      <c r="A535" s="64"/>
      <c r="B535" s="64"/>
      <c r="F535" s="64"/>
    </row>
    <row r="536" spans="1:6" ht="12.75" customHeight="1" x14ac:dyDescent="0.2">
      <c r="A536" s="64"/>
      <c r="B536" s="64"/>
      <c r="F536" s="64"/>
    </row>
    <row r="537" spans="1:6" ht="12.75" customHeight="1" x14ac:dyDescent="0.2">
      <c r="A537" s="64"/>
      <c r="B537" s="64"/>
      <c r="F537" s="64"/>
    </row>
    <row r="538" spans="1:6" ht="12.75" customHeight="1" x14ac:dyDescent="0.2">
      <c r="A538" s="64"/>
      <c r="B538" s="64"/>
      <c r="F538" s="64"/>
    </row>
    <row r="539" spans="1:6" ht="12.75" customHeight="1" x14ac:dyDescent="0.2">
      <c r="A539" s="64"/>
      <c r="B539" s="64"/>
      <c r="F539" s="64"/>
    </row>
    <row r="540" spans="1:6" ht="12.75" customHeight="1" x14ac:dyDescent="0.2">
      <c r="A540" s="64"/>
      <c r="B540" s="64"/>
      <c r="F540" s="64"/>
    </row>
    <row r="541" spans="1:6" ht="12.75" customHeight="1" x14ac:dyDescent="0.2">
      <c r="A541" s="64"/>
      <c r="B541" s="64"/>
      <c r="F541" s="64"/>
    </row>
    <row r="542" spans="1:6" ht="12.75" customHeight="1" x14ac:dyDescent="0.2">
      <c r="A542" s="64"/>
      <c r="B542" s="64"/>
      <c r="F542" s="64"/>
    </row>
    <row r="543" spans="1:6" ht="12.75" customHeight="1" x14ac:dyDescent="0.2">
      <c r="A543" s="64"/>
      <c r="B543" s="64"/>
      <c r="F543" s="64"/>
    </row>
    <row r="544" spans="1:6" ht="12.75" customHeight="1" x14ac:dyDescent="0.2">
      <c r="A544" s="64"/>
      <c r="B544" s="64"/>
      <c r="F544" s="64"/>
    </row>
    <row r="545" spans="1:6" ht="12.75" customHeight="1" x14ac:dyDescent="0.2">
      <c r="A545" s="64"/>
      <c r="B545" s="64"/>
      <c r="F545" s="64"/>
    </row>
    <row r="546" spans="1:6" ht="12.75" customHeight="1" x14ac:dyDescent="0.2">
      <c r="A546" s="64"/>
      <c r="B546" s="64"/>
      <c r="F546" s="64"/>
    </row>
    <row r="547" spans="1:6" ht="12.75" customHeight="1" x14ac:dyDescent="0.2">
      <c r="A547" s="64"/>
      <c r="B547" s="64"/>
      <c r="F547" s="64"/>
    </row>
    <row r="548" spans="1:6" ht="12.75" customHeight="1" x14ac:dyDescent="0.2">
      <c r="A548" s="64"/>
      <c r="B548" s="64"/>
      <c r="F548" s="64"/>
    </row>
    <row r="549" spans="1:6" ht="12.75" customHeight="1" x14ac:dyDescent="0.2">
      <c r="A549" s="64"/>
      <c r="B549" s="64"/>
      <c r="F549" s="64"/>
    </row>
    <row r="550" spans="1:6" ht="12.75" customHeight="1" x14ac:dyDescent="0.2">
      <c r="A550" s="64"/>
      <c r="B550" s="64"/>
      <c r="F550" s="64"/>
    </row>
    <row r="551" spans="1:6" ht="12.75" customHeight="1" x14ac:dyDescent="0.2">
      <c r="A551" s="64"/>
      <c r="B551" s="64"/>
      <c r="F551" s="64"/>
    </row>
    <row r="552" spans="1:6" ht="12.75" customHeight="1" x14ac:dyDescent="0.2">
      <c r="A552" s="64"/>
      <c r="B552" s="64"/>
      <c r="F552" s="64"/>
    </row>
    <row r="553" spans="1:6" ht="12.75" customHeight="1" x14ac:dyDescent="0.2">
      <c r="A553" s="64"/>
      <c r="B553" s="64"/>
      <c r="F553" s="64"/>
    </row>
    <row r="554" spans="1:6" ht="12.75" customHeight="1" x14ac:dyDescent="0.2">
      <c r="A554" s="64"/>
      <c r="B554" s="64"/>
      <c r="F554" s="64"/>
    </row>
    <row r="555" spans="1:6" ht="12.75" customHeight="1" x14ac:dyDescent="0.2">
      <c r="A555" s="64"/>
      <c r="B555" s="64"/>
      <c r="F555" s="64"/>
    </row>
    <row r="556" spans="1:6" ht="12.75" customHeight="1" x14ac:dyDescent="0.2">
      <c r="A556" s="64"/>
      <c r="B556" s="64"/>
      <c r="F556" s="64"/>
    </row>
    <row r="557" spans="1:6" ht="12.75" customHeight="1" x14ac:dyDescent="0.2">
      <c r="A557" s="64"/>
      <c r="B557" s="64"/>
      <c r="F557" s="64"/>
    </row>
    <row r="558" spans="1:6" ht="12.75" customHeight="1" x14ac:dyDescent="0.2">
      <c r="A558" s="64"/>
      <c r="B558" s="64"/>
      <c r="F558" s="64"/>
    </row>
    <row r="559" spans="1:6" ht="12.75" customHeight="1" x14ac:dyDescent="0.2">
      <c r="A559" s="64"/>
      <c r="B559" s="64"/>
      <c r="F559" s="64"/>
    </row>
    <row r="560" spans="1:6" ht="12.75" customHeight="1" x14ac:dyDescent="0.2">
      <c r="A560" s="64"/>
      <c r="B560" s="64"/>
      <c r="F560" s="64"/>
    </row>
    <row r="561" spans="1:6" ht="12.75" customHeight="1" x14ac:dyDescent="0.2">
      <c r="A561" s="64"/>
      <c r="B561" s="64"/>
      <c r="F561" s="64"/>
    </row>
    <row r="562" spans="1:6" ht="12.75" customHeight="1" x14ac:dyDescent="0.2">
      <c r="A562" s="64"/>
      <c r="B562" s="64"/>
      <c r="F562" s="64"/>
    </row>
    <row r="563" spans="1:6" ht="12.75" customHeight="1" x14ac:dyDescent="0.2">
      <c r="A563" s="64"/>
      <c r="B563" s="64"/>
      <c r="F563" s="64"/>
    </row>
    <row r="564" spans="1:6" ht="12.75" customHeight="1" x14ac:dyDescent="0.2">
      <c r="A564" s="64"/>
      <c r="B564" s="64"/>
      <c r="F564" s="64"/>
    </row>
    <row r="565" spans="1:6" ht="12.75" customHeight="1" x14ac:dyDescent="0.2">
      <c r="A565" s="64"/>
      <c r="B565" s="64"/>
      <c r="F565" s="64"/>
    </row>
    <row r="566" spans="1:6" ht="12.75" customHeight="1" x14ac:dyDescent="0.2">
      <c r="A566" s="64"/>
      <c r="B566" s="64"/>
      <c r="F566" s="64"/>
    </row>
    <row r="567" spans="1:6" ht="12.75" customHeight="1" x14ac:dyDescent="0.2">
      <c r="A567" s="64"/>
      <c r="B567" s="64"/>
      <c r="F567" s="64"/>
    </row>
    <row r="568" spans="1:6" ht="12.75" customHeight="1" x14ac:dyDescent="0.2">
      <c r="A568" s="64"/>
      <c r="B568" s="64"/>
      <c r="F568" s="64"/>
    </row>
    <row r="569" spans="1:6" ht="12.75" customHeight="1" x14ac:dyDescent="0.2">
      <c r="A569" s="64"/>
      <c r="B569" s="64"/>
      <c r="F569" s="64"/>
    </row>
    <row r="570" spans="1:6" ht="12.75" customHeight="1" x14ac:dyDescent="0.2">
      <c r="A570" s="64"/>
      <c r="B570" s="64"/>
      <c r="F570" s="64"/>
    </row>
    <row r="571" spans="1:6" ht="12.75" customHeight="1" x14ac:dyDescent="0.2">
      <c r="A571" s="64"/>
      <c r="B571" s="64"/>
      <c r="F571" s="64"/>
    </row>
    <row r="572" spans="1:6" ht="12.75" customHeight="1" x14ac:dyDescent="0.2">
      <c r="A572" s="64"/>
      <c r="B572" s="64"/>
      <c r="F572" s="64"/>
    </row>
    <row r="573" spans="1:6" ht="12.75" customHeight="1" x14ac:dyDescent="0.2">
      <c r="A573" s="64"/>
      <c r="B573" s="64"/>
      <c r="F573" s="64"/>
    </row>
    <row r="574" spans="1:6" ht="12.75" customHeight="1" x14ac:dyDescent="0.2">
      <c r="A574" s="64"/>
      <c r="B574" s="64"/>
      <c r="F574" s="64"/>
    </row>
    <row r="575" spans="1:6" ht="12.75" customHeight="1" x14ac:dyDescent="0.2">
      <c r="A575" s="64"/>
      <c r="B575" s="64"/>
      <c r="F575" s="64"/>
    </row>
    <row r="576" spans="1:6" ht="12.75" customHeight="1" x14ac:dyDescent="0.2">
      <c r="A576" s="64"/>
      <c r="B576" s="64"/>
      <c r="F576" s="64"/>
    </row>
    <row r="577" spans="1:6" ht="12.75" customHeight="1" x14ac:dyDescent="0.2">
      <c r="A577" s="64"/>
      <c r="B577" s="64"/>
      <c r="F577" s="64"/>
    </row>
    <row r="578" spans="1:6" ht="12.75" customHeight="1" x14ac:dyDescent="0.2">
      <c r="A578" s="64"/>
      <c r="B578" s="64"/>
      <c r="F578" s="64"/>
    </row>
    <row r="579" spans="1:6" ht="12.75" customHeight="1" x14ac:dyDescent="0.2">
      <c r="A579" s="64"/>
      <c r="B579" s="64"/>
      <c r="F579" s="64"/>
    </row>
    <row r="580" spans="1:6" ht="12.75" customHeight="1" x14ac:dyDescent="0.2">
      <c r="A580" s="64"/>
      <c r="B580" s="64"/>
      <c r="F580" s="64"/>
    </row>
    <row r="581" spans="1:6" ht="12.75" customHeight="1" x14ac:dyDescent="0.2">
      <c r="A581" s="64"/>
      <c r="B581" s="64"/>
      <c r="F581" s="64"/>
    </row>
    <row r="582" spans="1:6" ht="12.75" customHeight="1" x14ac:dyDescent="0.2">
      <c r="A582" s="64"/>
      <c r="B582" s="64"/>
      <c r="F582" s="64"/>
    </row>
    <row r="583" spans="1:6" ht="12.75" customHeight="1" x14ac:dyDescent="0.2">
      <c r="A583" s="64"/>
      <c r="B583" s="64"/>
      <c r="F583" s="64"/>
    </row>
    <row r="584" spans="1:6" ht="12.75" customHeight="1" x14ac:dyDescent="0.2">
      <c r="A584" s="64"/>
      <c r="B584" s="64"/>
      <c r="F584" s="64"/>
    </row>
    <row r="585" spans="1:6" ht="12.75" customHeight="1" x14ac:dyDescent="0.2">
      <c r="A585" s="64"/>
      <c r="B585" s="64"/>
      <c r="F585" s="64"/>
    </row>
    <row r="586" spans="1:6" ht="12.75" customHeight="1" x14ac:dyDescent="0.2">
      <c r="A586" s="64"/>
      <c r="B586" s="64"/>
      <c r="F586" s="64"/>
    </row>
    <row r="587" spans="1:6" ht="12.75" customHeight="1" x14ac:dyDescent="0.2">
      <c r="A587" s="64"/>
      <c r="B587" s="64"/>
      <c r="F587" s="64"/>
    </row>
    <row r="588" spans="1:6" ht="12.75" customHeight="1" x14ac:dyDescent="0.2">
      <c r="A588" s="64"/>
      <c r="B588" s="64"/>
      <c r="F588" s="64"/>
    </row>
    <row r="589" spans="1:6" ht="12.75" customHeight="1" x14ac:dyDescent="0.2">
      <c r="A589" s="64"/>
      <c r="B589" s="64"/>
      <c r="F589" s="64"/>
    </row>
    <row r="590" spans="1:6" ht="12.75" customHeight="1" x14ac:dyDescent="0.2">
      <c r="A590" s="64"/>
      <c r="B590" s="64"/>
      <c r="F590" s="64"/>
    </row>
    <row r="591" spans="1:6" ht="12.75" customHeight="1" x14ac:dyDescent="0.2">
      <c r="A591" s="64"/>
      <c r="B591" s="64"/>
      <c r="F591" s="64"/>
    </row>
    <row r="592" spans="1:6" ht="12.75" customHeight="1" x14ac:dyDescent="0.2">
      <c r="A592" s="64"/>
      <c r="B592" s="64"/>
      <c r="F592" s="64"/>
    </row>
    <row r="593" spans="1:6" ht="12.75" customHeight="1" x14ac:dyDescent="0.2">
      <c r="A593" s="64"/>
      <c r="B593" s="64"/>
      <c r="F593" s="64"/>
    </row>
    <row r="594" spans="1:6" ht="12.75" customHeight="1" x14ac:dyDescent="0.2">
      <c r="A594" s="64"/>
      <c r="B594" s="64"/>
      <c r="F594" s="64"/>
    </row>
    <row r="595" spans="1:6" ht="12.75" customHeight="1" x14ac:dyDescent="0.2">
      <c r="A595" s="64"/>
      <c r="B595" s="64"/>
      <c r="F595" s="64"/>
    </row>
    <row r="596" spans="1:6" ht="12.75" customHeight="1" x14ac:dyDescent="0.2">
      <c r="A596" s="64"/>
      <c r="B596" s="64"/>
      <c r="F596" s="64"/>
    </row>
    <row r="597" spans="1:6" ht="12.75" customHeight="1" x14ac:dyDescent="0.2">
      <c r="A597" s="64"/>
      <c r="B597" s="64"/>
      <c r="F597" s="64"/>
    </row>
    <row r="598" spans="1:6" ht="12.75" customHeight="1" x14ac:dyDescent="0.2">
      <c r="A598" s="64"/>
      <c r="B598" s="64"/>
      <c r="F598" s="64"/>
    </row>
    <row r="599" spans="1:6" ht="12.75" customHeight="1" x14ac:dyDescent="0.2">
      <c r="A599" s="64"/>
      <c r="B599" s="64"/>
      <c r="F599" s="64"/>
    </row>
    <row r="600" spans="1:6" ht="12.75" customHeight="1" x14ac:dyDescent="0.2">
      <c r="A600" s="64"/>
      <c r="B600" s="64"/>
      <c r="F600" s="64"/>
    </row>
    <row r="601" spans="1:6" ht="12.75" customHeight="1" x14ac:dyDescent="0.2">
      <c r="A601" s="64"/>
      <c r="B601" s="64"/>
      <c r="F601" s="64"/>
    </row>
    <row r="602" spans="1:6" ht="12.75" customHeight="1" x14ac:dyDescent="0.2">
      <c r="A602" s="64"/>
      <c r="B602" s="64"/>
      <c r="F602" s="64"/>
    </row>
    <row r="603" spans="1:6" ht="12.75" customHeight="1" x14ac:dyDescent="0.2">
      <c r="A603" s="64"/>
      <c r="B603" s="64"/>
      <c r="F603" s="64"/>
    </row>
    <row r="604" spans="1:6" ht="12.75" customHeight="1" x14ac:dyDescent="0.2">
      <c r="A604" s="64"/>
      <c r="B604" s="64"/>
      <c r="F604" s="64"/>
    </row>
    <row r="605" spans="1:6" ht="12.75" customHeight="1" x14ac:dyDescent="0.2">
      <c r="A605" s="64"/>
      <c r="B605" s="64"/>
      <c r="F605" s="64"/>
    </row>
    <row r="606" spans="1:6" ht="12.75" customHeight="1" x14ac:dyDescent="0.2">
      <c r="A606" s="64"/>
      <c r="B606" s="64"/>
      <c r="F606" s="64"/>
    </row>
    <row r="607" spans="1:6" ht="12.75" customHeight="1" x14ac:dyDescent="0.2">
      <c r="A607" s="64"/>
      <c r="B607" s="64"/>
      <c r="F607" s="64"/>
    </row>
    <row r="608" spans="1:6" ht="12.75" customHeight="1" x14ac:dyDescent="0.2">
      <c r="A608" s="64"/>
      <c r="B608" s="64"/>
      <c r="F608" s="64"/>
    </row>
    <row r="609" spans="1:6" ht="12.75" customHeight="1" x14ac:dyDescent="0.2">
      <c r="A609" s="64"/>
      <c r="B609" s="64"/>
      <c r="F609" s="64"/>
    </row>
    <row r="610" spans="1:6" ht="12.75" customHeight="1" x14ac:dyDescent="0.2">
      <c r="A610" s="64"/>
      <c r="B610" s="64"/>
      <c r="F610" s="64"/>
    </row>
    <row r="611" spans="1:6" ht="12.75" customHeight="1" x14ac:dyDescent="0.2">
      <c r="A611" s="64"/>
      <c r="B611" s="64"/>
      <c r="F611" s="64"/>
    </row>
    <row r="612" spans="1:6" ht="12.75" customHeight="1" x14ac:dyDescent="0.2">
      <c r="A612" s="64"/>
      <c r="B612" s="64"/>
      <c r="F612" s="64"/>
    </row>
    <row r="613" spans="1:6" ht="12.75" customHeight="1" x14ac:dyDescent="0.2">
      <c r="A613" s="64"/>
      <c r="B613" s="64"/>
      <c r="F613" s="64"/>
    </row>
    <row r="614" spans="1:6" ht="12.75" customHeight="1" x14ac:dyDescent="0.2">
      <c r="A614" s="64"/>
      <c r="B614" s="64"/>
      <c r="F614" s="64"/>
    </row>
    <row r="615" spans="1:6" ht="12.75" customHeight="1" x14ac:dyDescent="0.2">
      <c r="A615" s="64"/>
      <c r="B615" s="64"/>
      <c r="F615" s="64"/>
    </row>
    <row r="616" spans="1:6" ht="12.75" customHeight="1" x14ac:dyDescent="0.2">
      <c r="A616" s="64"/>
      <c r="B616" s="64"/>
      <c r="F616" s="64"/>
    </row>
    <row r="617" spans="1:6" ht="12.75" customHeight="1" x14ac:dyDescent="0.2">
      <c r="A617" s="64"/>
      <c r="B617" s="64"/>
      <c r="F617" s="64"/>
    </row>
    <row r="618" spans="1:6" ht="12.75" customHeight="1" x14ac:dyDescent="0.2">
      <c r="A618" s="64"/>
      <c r="B618" s="64"/>
      <c r="F618" s="64"/>
    </row>
    <row r="619" spans="1:6" ht="12.75" customHeight="1" x14ac:dyDescent="0.2">
      <c r="A619" s="64"/>
      <c r="B619" s="64"/>
      <c r="F619" s="64"/>
    </row>
    <row r="620" spans="1:6" ht="12.75" customHeight="1" x14ac:dyDescent="0.2">
      <c r="A620" s="64"/>
      <c r="B620" s="64"/>
      <c r="F620" s="64"/>
    </row>
    <row r="621" spans="1:6" ht="12.75" customHeight="1" x14ac:dyDescent="0.2">
      <c r="A621" s="64"/>
      <c r="B621" s="64"/>
      <c r="F621" s="64"/>
    </row>
    <row r="622" spans="1:6" ht="12.75" customHeight="1" x14ac:dyDescent="0.2">
      <c r="A622" s="64"/>
      <c r="B622" s="64"/>
      <c r="F622" s="64"/>
    </row>
    <row r="623" spans="1:6" ht="12.75" customHeight="1" x14ac:dyDescent="0.2">
      <c r="A623" s="64"/>
      <c r="B623" s="64"/>
      <c r="F623" s="64"/>
    </row>
    <row r="624" spans="1:6" ht="12.75" customHeight="1" x14ac:dyDescent="0.2">
      <c r="A624" s="64"/>
      <c r="B624" s="64"/>
      <c r="F624" s="64"/>
    </row>
    <row r="625" spans="1:6" ht="12.75" customHeight="1" x14ac:dyDescent="0.2">
      <c r="A625" s="64"/>
      <c r="B625" s="64"/>
      <c r="F625" s="64"/>
    </row>
    <row r="626" spans="1:6" ht="12.75" customHeight="1" x14ac:dyDescent="0.2">
      <c r="A626" s="64"/>
      <c r="B626" s="64"/>
      <c r="F626" s="64"/>
    </row>
    <row r="627" spans="1:6" ht="12.75" customHeight="1" x14ac:dyDescent="0.2">
      <c r="A627" s="64"/>
      <c r="B627" s="64"/>
      <c r="F627" s="64"/>
    </row>
    <row r="628" spans="1:6" ht="12.75" customHeight="1" x14ac:dyDescent="0.2">
      <c r="A628" s="64"/>
      <c r="B628" s="64"/>
      <c r="F628" s="64"/>
    </row>
    <row r="629" spans="1:6" ht="12.75" customHeight="1" x14ac:dyDescent="0.2">
      <c r="A629" s="64"/>
      <c r="B629" s="64"/>
      <c r="F629" s="64"/>
    </row>
    <row r="630" spans="1:6" ht="12.75" customHeight="1" x14ac:dyDescent="0.2">
      <c r="A630" s="64"/>
      <c r="B630" s="64"/>
      <c r="F630" s="64"/>
    </row>
    <row r="631" spans="1:6" ht="12.75" customHeight="1" x14ac:dyDescent="0.2">
      <c r="A631" s="64"/>
      <c r="B631" s="64"/>
      <c r="F631" s="64"/>
    </row>
    <row r="632" spans="1:6" ht="12.75" customHeight="1" x14ac:dyDescent="0.2">
      <c r="A632" s="64"/>
      <c r="B632" s="64"/>
      <c r="F632" s="64"/>
    </row>
    <row r="633" spans="1:6" ht="12.75" customHeight="1" x14ac:dyDescent="0.2">
      <c r="A633" s="64"/>
      <c r="B633" s="64"/>
      <c r="F633" s="64"/>
    </row>
    <row r="634" spans="1:6" ht="12.75" customHeight="1" x14ac:dyDescent="0.2">
      <c r="A634" s="64"/>
      <c r="B634" s="64"/>
      <c r="F634" s="64"/>
    </row>
    <row r="635" spans="1:6" ht="12.75" customHeight="1" x14ac:dyDescent="0.2">
      <c r="A635" s="64"/>
      <c r="B635" s="64"/>
      <c r="F635" s="64"/>
    </row>
    <row r="636" spans="1:6" ht="12.75" customHeight="1" x14ac:dyDescent="0.2">
      <c r="A636" s="64"/>
      <c r="B636" s="64"/>
      <c r="F636" s="64"/>
    </row>
    <row r="637" spans="1:6" ht="12.75" customHeight="1" x14ac:dyDescent="0.2">
      <c r="A637" s="64"/>
      <c r="B637" s="64"/>
      <c r="F637" s="64"/>
    </row>
    <row r="638" spans="1:6" ht="12.75" customHeight="1" x14ac:dyDescent="0.2">
      <c r="A638" s="64"/>
      <c r="B638" s="64"/>
      <c r="F638" s="64"/>
    </row>
    <row r="639" spans="1:6" ht="12.75" customHeight="1" x14ac:dyDescent="0.2">
      <c r="A639" s="64"/>
      <c r="B639" s="64"/>
      <c r="F639" s="64"/>
    </row>
    <row r="640" spans="1:6" ht="12.75" customHeight="1" x14ac:dyDescent="0.2">
      <c r="A640" s="64"/>
      <c r="B640" s="64"/>
      <c r="F640" s="64"/>
    </row>
    <row r="641" spans="1:6" ht="12.75" customHeight="1" x14ac:dyDescent="0.2">
      <c r="A641" s="64"/>
      <c r="B641" s="64"/>
      <c r="F641" s="64"/>
    </row>
    <row r="642" spans="1:6" ht="12.75" customHeight="1" x14ac:dyDescent="0.2">
      <c r="A642" s="64"/>
      <c r="B642" s="64"/>
      <c r="F642" s="64"/>
    </row>
    <row r="643" spans="1:6" ht="12.75" customHeight="1" x14ac:dyDescent="0.2">
      <c r="A643" s="64"/>
      <c r="B643" s="64"/>
      <c r="F643" s="64"/>
    </row>
    <row r="644" spans="1:6" ht="12.75" customHeight="1" x14ac:dyDescent="0.2">
      <c r="A644" s="64"/>
      <c r="B644" s="64"/>
      <c r="F644" s="64"/>
    </row>
    <row r="645" spans="1:6" ht="12.75" customHeight="1" x14ac:dyDescent="0.2">
      <c r="A645" s="64"/>
      <c r="B645" s="64"/>
      <c r="F645" s="64"/>
    </row>
    <row r="646" spans="1:6" ht="12.75" customHeight="1" x14ac:dyDescent="0.2">
      <c r="A646" s="64"/>
      <c r="B646" s="64"/>
      <c r="F646" s="64"/>
    </row>
    <row r="647" spans="1:6" ht="12.75" customHeight="1" x14ac:dyDescent="0.2">
      <c r="A647" s="64"/>
      <c r="B647" s="64"/>
      <c r="F647" s="64"/>
    </row>
    <row r="648" spans="1:6" ht="12.75" customHeight="1" x14ac:dyDescent="0.2">
      <c r="A648" s="64"/>
      <c r="B648" s="64"/>
      <c r="F648" s="64"/>
    </row>
    <row r="649" spans="1:6" ht="12.75" customHeight="1" x14ac:dyDescent="0.2">
      <c r="A649" s="64"/>
      <c r="B649" s="64"/>
      <c r="F649" s="64"/>
    </row>
    <row r="650" spans="1:6" ht="12.75" customHeight="1" x14ac:dyDescent="0.2">
      <c r="A650" s="64"/>
      <c r="B650" s="64"/>
      <c r="F650" s="64"/>
    </row>
    <row r="651" spans="1:6" ht="12.75" customHeight="1" x14ac:dyDescent="0.2">
      <c r="A651" s="64"/>
      <c r="B651" s="64"/>
      <c r="F651" s="64"/>
    </row>
    <row r="652" spans="1:6" ht="12.75" customHeight="1" x14ac:dyDescent="0.2">
      <c r="A652" s="64"/>
      <c r="B652" s="64"/>
      <c r="F652" s="64"/>
    </row>
    <row r="653" spans="1:6" ht="12.75" customHeight="1" x14ac:dyDescent="0.2">
      <c r="A653" s="64"/>
      <c r="B653" s="64"/>
      <c r="F653" s="64"/>
    </row>
    <row r="654" spans="1:6" ht="12.75" customHeight="1" x14ac:dyDescent="0.2">
      <c r="A654" s="64"/>
      <c r="B654" s="64"/>
      <c r="F654" s="64"/>
    </row>
    <row r="655" spans="1:6" ht="12.75" customHeight="1" x14ac:dyDescent="0.2">
      <c r="A655" s="64"/>
      <c r="B655" s="64"/>
      <c r="F655" s="64"/>
    </row>
    <row r="656" spans="1:6" ht="12.75" customHeight="1" x14ac:dyDescent="0.2">
      <c r="A656" s="64"/>
      <c r="B656" s="64"/>
      <c r="F656" s="64"/>
    </row>
    <row r="657" spans="1:6" ht="12.75" customHeight="1" x14ac:dyDescent="0.2">
      <c r="A657" s="64"/>
      <c r="B657" s="64"/>
      <c r="F657" s="64"/>
    </row>
    <row r="658" spans="1:6" ht="12.75" customHeight="1" x14ac:dyDescent="0.2">
      <c r="A658" s="64"/>
      <c r="B658" s="64"/>
      <c r="F658" s="64"/>
    </row>
    <row r="659" spans="1:6" ht="12.75" customHeight="1" x14ac:dyDescent="0.2">
      <c r="A659" s="64"/>
      <c r="B659" s="64"/>
      <c r="F659" s="64"/>
    </row>
    <row r="660" spans="1:6" ht="12.75" customHeight="1" x14ac:dyDescent="0.2">
      <c r="A660" s="64"/>
      <c r="B660" s="64"/>
      <c r="F660" s="64"/>
    </row>
    <row r="661" spans="1:6" ht="12.75" customHeight="1" x14ac:dyDescent="0.2">
      <c r="A661" s="64"/>
      <c r="B661" s="64"/>
      <c r="F661" s="64"/>
    </row>
    <row r="662" spans="1:6" ht="12.75" customHeight="1" x14ac:dyDescent="0.2">
      <c r="A662" s="64"/>
      <c r="B662" s="64"/>
      <c r="F662" s="64"/>
    </row>
    <row r="663" spans="1:6" ht="12.75" customHeight="1" x14ac:dyDescent="0.2">
      <c r="A663" s="64"/>
      <c r="B663" s="64"/>
      <c r="F663" s="64"/>
    </row>
    <row r="664" spans="1:6" ht="12.75" customHeight="1" x14ac:dyDescent="0.2">
      <c r="A664" s="64"/>
      <c r="B664" s="64"/>
      <c r="F664" s="64"/>
    </row>
    <row r="665" spans="1:6" ht="12.75" customHeight="1" x14ac:dyDescent="0.2">
      <c r="A665" s="64"/>
      <c r="B665" s="64"/>
      <c r="F665" s="64"/>
    </row>
    <row r="666" spans="1:6" ht="12.75" customHeight="1" x14ac:dyDescent="0.2">
      <c r="A666" s="64"/>
      <c r="B666" s="64"/>
      <c r="F666" s="64"/>
    </row>
    <row r="667" spans="1:6" ht="12.75" customHeight="1" x14ac:dyDescent="0.2">
      <c r="A667" s="64"/>
      <c r="B667" s="64"/>
      <c r="F667" s="64"/>
    </row>
    <row r="668" spans="1:6" ht="12.75" customHeight="1" x14ac:dyDescent="0.2">
      <c r="A668" s="64"/>
      <c r="B668" s="64"/>
      <c r="F668" s="64"/>
    </row>
    <row r="669" spans="1:6" ht="12.75" customHeight="1" x14ac:dyDescent="0.2">
      <c r="A669" s="64"/>
      <c r="B669" s="64"/>
      <c r="F669" s="64"/>
    </row>
    <row r="670" spans="1:6" ht="12.75" customHeight="1" x14ac:dyDescent="0.2">
      <c r="A670" s="64"/>
      <c r="B670" s="64"/>
      <c r="F670" s="64"/>
    </row>
    <row r="671" spans="1:6" ht="12.75" customHeight="1" x14ac:dyDescent="0.2">
      <c r="A671" s="64"/>
      <c r="B671" s="64"/>
      <c r="F671" s="64"/>
    </row>
    <row r="672" spans="1:6" ht="12.75" customHeight="1" x14ac:dyDescent="0.2">
      <c r="A672" s="64"/>
      <c r="B672" s="64"/>
      <c r="F672" s="64"/>
    </row>
    <row r="673" spans="1:6" ht="12.75" customHeight="1" x14ac:dyDescent="0.2">
      <c r="A673" s="64"/>
      <c r="B673" s="64"/>
      <c r="F673" s="64"/>
    </row>
    <row r="674" spans="1:6" ht="12.75" customHeight="1" x14ac:dyDescent="0.2">
      <c r="A674" s="64"/>
      <c r="B674" s="64"/>
      <c r="F674" s="64"/>
    </row>
    <row r="675" spans="1:6" ht="12.75" customHeight="1" x14ac:dyDescent="0.2">
      <c r="A675" s="64"/>
      <c r="B675" s="64"/>
      <c r="F675" s="64"/>
    </row>
    <row r="676" spans="1:6" ht="12.75" customHeight="1" x14ac:dyDescent="0.2">
      <c r="A676" s="64"/>
      <c r="B676" s="64"/>
      <c r="F676" s="64"/>
    </row>
    <row r="677" spans="1:6" ht="12.75" customHeight="1" x14ac:dyDescent="0.2">
      <c r="A677" s="64"/>
      <c r="B677" s="64"/>
      <c r="F677" s="64"/>
    </row>
    <row r="678" spans="1:6" ht="12.75" customHeight="1" x14ac:dyDescent="0.2">
      <c r="A678" s="64"/>
      <c r="B678" s="64"/>
      <c r="F678" s="64"/>
    </row>
    <row r="679" spans="1:6" ht="12.75" customHeight="1" x14ac:dyDescent="0.2">
      <c r="A679" s="64"/>
      <c r="B679" s="64"/>
      <c r="F679" s="64"/>
    </row>
    <row r="680" spans="1:6" ht="12.75" customHeight="1" x14ac:dyDescent="0.2">
      <c r="A680" s="64"/>
      <c r="B680" s="64"/>
      <c r="F680" s="64"/>
    </row>
    <row r="681" spans="1:6" ht="12.75" customHeight="1" x14ac:dyDescent="0.2">
      <c r="A681" s="64"/>
      <c r="B681" s="64"/>
      <c r="F681" s="64"/>
    </row>
    <row r="682" spans="1:6" ht="12.75" customHeight="1" x14ac:dyDescent="0.2">
      <c r="A682" s="64"/>
      <c r="B682" s="64"/>
      <c r="F682" s="64"/>
    </row>
    <row r="683" spans="1:6" ht="12.75" customHeight="1" x14ac:dyDescent="0.2">
      <c r="A683" s="64"/>
      <c r="B683" s="64"/>
      <c r="F683" s="64"/>
    </row>
    <row r="684" spans="1:6" ht="12.75" customHeight="1" x14ac:dyDescent="0.2">
      <c r="A684" s="64"/>
      <c r="B684" s="64"/>
      <c r="F684" s="64"/>
    </row>
    <row r="685" spans="1:6" ht="12.75" customHeight="1" x14ac:dyDescent="0.2">
      <c r="A685" s="64"/>
      <c r="B685" s="64"/>
      <c r="F685" s="64"/>
    </row>
    <row r="686" spans="1:6" ht="12.75" customHeight="1" x14ac:dyDescent="0.2">
      <c r="A686" s="64"/>
      <c r="B686" s="64"/>
      <c r="F686" s="64"/>
    </row>
    <row r="687" spans="1:6" ht="12.75" customHeight="1" x14ac:dyDescent="0.2">
      <c r="A687" s="64"/>
      <c r="B687" s="64"/>
      <c r="F687" s="64"/>
    </row>
    <row r="688" spans="1:6" ht="12.75" customHeight="1" x14ac:dyDescent="0.2">
      <c r="A688" s="64"/>
      <c r="B688" s="64"/>
      <c r="F688" s="64"/>
    </row>
    <row r="689" spans="1:6" ht="12.75" customHeight="1" x14ac:dyDescent="0.2">
      <c r="A689" s="64"/>
      <c r="B689" s="64"/>
      <c r="F689" s="64"/>
    </row>
    <row r="690" spans="1:6" ht="12.75" customHeight="1" x14ac:dyDescent="0.2">
      <c r="A690" s="64"/>
      <c r="B690" s="64"/>
      <c r="F690" s="64"/>
    </row>
    <row r="691" spans="1:6" ht="12.75" customHeight="1" x14ac:dyDescent="0.2">
      <c r="A691" s="64"/>
      <c r="B691" s="64"/>
      <c r="F691" s="64"/>
    </row>
    <row r="692" spans="1:6" ht="12.75" customHeight="1" x14ac:dyDescent="0.2">
      <c r="A692" s="64"/>
      <c r="B692" s="64"/>
      <c r="F692" s="64"/>
    </row>
    <row r="693" spans="1:6" ht="12.75" customHeight="1" x14ac:dyDescent="0.2">
      <c r="A693" s="64"/>
      <c r="B693" s="64"/>
      <c r="F693" s="64"/>
    </row>
    <row r="694" spans="1:6" ht="12.75" customHeight="1" x14ac:dyDescent="0.2">
      <c r="A694" s="64"/>
      <c r="B694" s="64"/>
      <c r="F694" s="64"/>
    </row>
    <row r="695" spans="1:6" ht="12.75" customHeight="1" x14ac:dyDescent="0.2">
      <c r="A695" s="64"/>
      <c r="B695" s="64"/>
      <c r="F695" s="64"/>
    </row>
    <row r="696" spans="1:6" ht="12.75" customHeight="1" x14ac:dyDescent="0.2">
      <c r="A696" s="64"/>
      <c r="B696" s="64"/>
      <c r="F696" s="64"/>
    </row>
    <row r="697" spans="1:6" ht="12.75" customHeight="1" x14ac:dyDescent="0.2">
      <c r="A697" s="64"/>
      <c r="B697" s="64"/>
      <c r="F697" s="64"/>
    </row>
    <row r="698" spans="1:6" ht="12.75" customHeight="1" x14ac:dyDescent="0.2">
      <c r="A698" s="64"/>
      <c r="B698" s="64"/>
      <c r="F698" s="64"/>
    </row>
    <row r="699" spans="1:6" ht="12.75" customHeight="1" x14ac:dyDescent="0.2">
      <c r="A699" s="64"/>
      <c r="B699" s="64"/>
      <c r="F699" s="64"/>
    </row>
    <row r="700" spans="1:6" ht="12.75" customHeight="1" x14ac:dyDescent="0.2">
      <c r="A700" s="64"/>
      <c r="B700" s="64"/>
      <c r="F700" s="64"/>
    </row>
    <row r="701" spans="1:6" ht="12.75" customHeight="1" x14ac:dyDescent="0.2">
      <c r="A701" s="64"/>
      <c r="B701" s="64"/>
      <c r="F701" s="64"/>
    </row>
    <row r="702" spans="1:6" ht="12.75" customHeight="1" x14ac:dyDescent="0.2">
      <c r="A702" s="64"/>
      <c r="B702" s="64"/>
      <c r="F702" s="64"/>
    </row>
    <row r="703" spans="1:6" ht="12.75" customHeight="1" x14ac:dyDescent="0.2">
      <c r="A703" s="64"/>
      <c r="B703" s="64"/>
      <c r="F703" s="64"/>
    </row>
    <row r="704" spans="1:6" ht="12.75" customHeight="1" x14ac:dyDescent="0.2">
      <c r="A704" s="64"/>
      <c r="B704" s="64"/>
      <c r="F704" s="64"/>
    </row>
    <row r="705" spans="1:6" ht="12.75" customHeight="1" x14ac:dyDescent="0.2">
      <c r="A705" s="64"/>
      <c r="B705" s="64"/>
      <c r="F705" s="64"/>
    </row>
    <row r="706" spans="1:6" ht="12.75" customHeight="1" x14ac:dyDescent="0.2">
      <c r="A706" s="64"/>
      <c r="B706" s="64"/>
      <c r="F706" s="64"/>
    </row>
    <row r="707" spans="1:6" ht="12.75" customHeight="1" x14ac:dyDescent="0.2">
      <c r="A707" s="64"/>
      <c r="B707" s="64"/>
      <c r="F707" s="64"/>
    </row>
    <row r="708" spans="1:6" ht="12.75" customHeight="1" x14ac:dyDescent="0.2">
      <c r="A708" s="64"/>
      <c r="B708" s="64"/>
      <c r="F708" s="64"/>
    </row>
    <row r="709" spans="1:6" ht="12.75" customHeight="1" x14ac:dyDescent="0.2">
      <c r="A709" s="64"/>
      <c r="B709" s="64"/>
      <c r="F709" s="64"/>
    </row>
    <row r="710" spans="1:6" ht="12.75" customHeight="1" x14ac:dyDescent="0.2">
      <c r="A710" s="64"/>
      <c r="B710" s="64"/>
      <c r="F710" s="64"/>
    </row>
    <row r="711" spans="1:6" ht="12.75" customHeight="1" x14ac:dyDescent="0.2">
      <c r="A711" s="64"/>
      <c r="B711" s="64"/>
      <c r="F711" s="64"/>
    </row>
    <row r="712" spans="1:6" ht="12.75" customHeight="1" x14ac:dyDescent="0.2">
      <c r="A712" s="64"/>
      <c r="B712" s="64"/>
      <c r="F712" s="64"/>
    </row>
    <row r="713" spans="1:6" ht="12.75" customHeight="1" x14ac:dyDescent="0.2">
      <c r="A713" s="64"/>
      <c r="B713" s="64"/>
      <c r="F713" s="64"/>
    </row>
    <row r="714" spans="1:6" ht="12.75" customHeight="1" x14ac:dyDescent="0.2">
      <c r="A714" s="64"/>
      <c r="B714" s="64"/>
      <c r="F714" s="64"/>
    </row>
    <row r="715" spans="1:6" ht="12.75" customHeight="1" x14ac:dyDescent="0.2">
      <c r="A715" s="64"/>
      <c r="B715" s="64"/>
      <c r="F715" s="64"/>
    </row>
    <row r="716" spans="1:6" ht="12.75" customHeight="1" x14ac:dyDescent="0.2">
      <c r="A716" s="64"/>
      <c r="B716" s="64"/>
      <c r="F716" s="64"/>
    </row>
    <row r="717" spans="1:6" ht="12.75" customHeight="1" x14ac:dyDescent="0.2">
      <c r="A717" s="64"/>
      <c r="B717" s="64"/>
      <c r="F717" s="64"/>
    </row>
    <row r="718" spans="1:6" ht="12.75" customHeight="1" x14ac:dyDescent="0.2">
      <c r="A718" s="64"/>
      <c r="B718" s="64"/>
      <c r="F718" s="64"/>
    </row>
    <row r="719" spans="1:6" ht="12.75" customHeight="1" x14ac:dyDescent="0.2">
      <c r="A719" s="64"/>
      <c r="B719" s="64"/>
      <c r="F719" s="64"/>
    </row>
    <row r="720" spans="1:6" ht="12.75" customHeight="1" x14ac:dyDescent="0.2">
      <c r="A720" s="64"/>
      <c r="B720" s="64"/>
      <c r="F720" s="64"/>
    </row>
    <row r="721" spans="1:6" ht="12.75" customHeight="1" x14ac:dyDescent="0.2">
      <c r="A721" s="64"/>
      <c r="B721" s="64"/>
      <c r="F721" s="64"/>
    </row>
    <row r="722" spans="1:6" ht="12.75" customHeight="1" x14ac:dyDescent="0.2">
      <c r="A722" s="64"/>
      <c r="B722" s="64"/>
      <c r="F722" s="64"/>
    </row>
    <row r="723" spans="1:6" ht="12.75" customHeight="1" x14ac:dyDescent="0.2">
      <c r="A723" s="64"/>
      <c r="B723" s="64"/>
      <c r="F723" s="64"/>
    </row>
    <row r="724" spans="1:6" ht="12.75" customHeight="1" x14ac:dyDescent="0.2">
      <c r="A724" s="64"/>
      <c r="B724" s="64"/>
      <c r="F724" s="64"/>
    </row>
    <row r="725" spans="1:6" ht="12.75" customHeight="1" x14ac:dyDescent="0.2">
      <c r="A725" s="64"/>
      <c r="B725" s="64"/>
      <c r="F725" s="64"/>
    </row>
    <row r="726" spans="1:6" ht="12.75" customHeight="1" x14ac:dyDescent="0.2">
      <c r="A726" s="64"/>
      <c r="B726" s="64"/>
      <c r="F726" s="64"/>
    </row>
    <row r="727" spans="1:6" ht="12.75" customHeight="1" x14ac:dyDescent="0.2">
      <c r="A727" s="64"/>
      <c r="B727" s="64"/>
      <c r="F727" s="64"/>
    </row>
    <row r="728" spans="1:6" ht="12.75" customHeight="1" x14ac:dyDescent="0.2">
      <c r="A728" s="64"/>
      <c r="B728" s="64"/>
      <c r="F728" s="64"/>
    </row>
    <row r="729" spans="1:6" ht="12.75" customHeight="1" x14ac:dyDescent="0.2">
      <c r="A729" s="64"/>
      <c r="B729" s="64"/>
      <c r="F729" s="64"/>
    </row>
    <row r="730" spans="1:6" ht="12.75" customHeight="1" x14ac:dyDescent="0.2">
      <c r="A730" s="64"/>
      <c r="B730" s="64"/>
      <c r="F730" s="64"/>
    </row>
    <row r="731" spans="1:6" ht="12.75" customHeight="1" x14ac:dyDescent="0.2">
      <c r="A731" s="64"/>
      <c r="B731" s="64"/>
      <c r="F731" s="64"/>
    </row>
    <row r="732" spans="1:6" ht="12.75" customHeight="1" x14ac:dyDescent="0.2">
      <c r="A732" s="64"/>
      <c r="B732" s="64"/>
      <c r="F732" s="64"/>
    </row>
    <row r="733" spans="1:6" ht="12.75" customHeight="1" x14ac:dyDescent="0.2">
      <c r="A733" s="64"/>
      <c r="B733" s="64"/>
      <c r="F733" s="64"/>
    </row>
    <row r="734" spans="1:6" ht="12.75" customHeight="1" x14ac:dyDescent="0.2">
      <c r="A734" s="64"/>
      <c r="B734" s="64"/>
      <c r="F734" s="64"/>
    </row>
    <row r="735" spans="1:6" ht="12.75" customHeight="1" x14ac:dyDescent="0.2">
      <c r="A735" s="64"/>
      <c r="B735" s="64"/>
      <c r="F735" s="64"/>
    </row>
    <row r="736" spans="1:6" ht="12.75" customHeight="1" x14ac:dyDescent="0.2">
      <c r="A736" s="64"/>
      <c r="B736" s="64"/>
      <c r="F736" s="64"/>
    </row>
    <row r="737" spans="1:6" ht="12.75" customHeight="1" x14ac:dyDescent="0.2">
      <c r="A737" s="64"/>
      <c r="B737" s="64"/>
      <c r="F737" s="64"/>
    </row>
    <row r="738" spans="1:6" ht="12.75" customHeight="1" x14ac:dyDescent="0.2">
      <c r="A738" s="64"/>
      <c r="B738" s="64"/>
      <c r="F738" s="64"/>
    </row>
    <row r="739" spans="1:6" ht="12.75" customHeight="1" x14ac:dyDescent="0.2">
      <c r="A739" s="64"/>
      <c r="B739" s="64"/>
      <c r="F739" s="64"/>
    </row>
    <row r="740" spans="1:6" ht="12.75" customHeight="1" x14ac:dyDescent="0.2">
      <c r="A740" s="64"/>
      <c r="B740" s="64"/>
      <c r="F740" s="64"/>
    </row>
    <row r="741" spans="1:6" ht="12.75" customHeight="1" x14ac:dyDescent="0.2">
      <c r="A741" s="64"/>
      <c r="B741" s="64"/>
      <c r="F741" s="64"/>
    </row>
    <row r="742" spans="1:6" ht="12.75" customHeight="1" x14ac:dyDescent="0.2">
      <c r="A742" s="64"/>
      <c r="B742" s="64"/>
      <c r="F742" s="64"/>
    </row>
    <row r="743" spans="1:6" ht="12.75" customHeight="1" x14ac:dyDescent="0.2">
      <c r="A743" s="64"/>
      <c r="B743" s="64"/>
      <c r="F743" s="64"/>
    </row>
    <row r="744" spans="1:6" ht="12.75" customHeight="1" x14ac:dyDescent="0.2">
      <c r="A744" s="64"/>
      <c r="B744" s="64"/>
      <c r="F744" s="64"/>
    </row>
    <row r="745" spans="1:6" ht="12.75" customHeight="1" x14ac:dyDescent="0.2">
      <c r="A745" s="64"/>
      <c r="B745" s="64"/>
      <c r="F745" s="64"/>
    </row>
    <row r="746" spans="1:6" ht="12.75" customHeight="1" x14ac:dyDescent="0.2">
      <c r="A746" s="64"/>
      <c r="B746" s="64"/>
      <c r="F746" s="64"/>
    </row>
    <row r="747" spans="1:6" ht="12.75" customHeight="1" x14ac:dyDescent="0.2">
      <c r="A747" s="64"/>
      <c r="B747" s="64"/>
      <c r="F747" s="64"/>
    </row>
    <row r="748" spans="1:6" ht="12.75" customHeight="1" x14ac:dyDescent="0.2">
      <c r="A748" s="64"/>
      <c r="B748" s="64"/>
      <c r="F748" s="64"/>
    </row>
    <row r="749" spans="1:6" ht="12.75" customHeight="1" x14ac:dyDescent="0.2">
      <c r="A749" s="64"/>
      <c r="B749" s="64"/>
      <c r="F749" s="64"/>
    </row>
    <row r="750" spans="1:6" ht="12.75" customHeight="1" x14ac:dyDescent="0.2">
      <c r="A750" s="64"/>
      <c r="B750" s="64"/>
      <c r="F750" s="64"/>
    </row>
    <row r="751" spans="1:6" ht="12.75" customHeight="1" x14ac:dyDescent="0.2">
      <c r="A751" s="64"/>
      <c r="B751" s="64"/>
      <c r="F751" s="64"/>
    </row>
    <row r="752" spans="1:6" ht="12.75" customHeight="1" x14ac:dyDescent="0.2">
      <c r="A752" s="64"/>
      <c r="B752" s="64"/>
      <c r="F752" s="64"/>
    </row>
    <row r="753" spans="1:6" ht="12.75" customHeight="1" x14ac:dyDescent="0.2">
      <c r="A753" s="64"/>
      <c r="B753" s="64"/>
      <c r="F753" s="64"/>
    </row>
    <row r="754" spans="1:6" ht="12.75" customHeight="1" x14ac:dyDescent="0.2">
      <c r="A754" s="64"/>
      <c r="B754" s="64"/>
      <c r="F754" s="64"/>
    </row>
    <row r="755" spans="1:6" ht="12.75" customHeight="1" x14ac:dyDescent="0.2">
      <c r="A755" s="64"/>
      <c r="B755" s="64"/>
      <c r="F755" s="64"/>
    </row>
    <row r="756" spans="1:6" ht="12.75" customHeight="1" x14ac:dyDescent="0.2">
      <c r="A756" s="64"/>
      <c r="B756" s="64"/>
      <c r="F756" s="64"/>
    </row>
    <row r="757" spans="1:6" ht="12.75" customHeight="1" x14ac:dyDescent="0.2">
      <c r="A757" s="64"/>
      <c r="B757" s="64"/>
      <c r="F757" s="64"/>
    </row>
    <row r="758" spans="1:6" ht="12.75" customHeight="1" x14ac:dyDescent="0.2">
      <c r="A758" s="64"/>
      <c r="B758" s="64"/>
      <c r="F758" s="64"/>
    </row>
    <row r="759" spans="1:6" ht="12.75" customHeight="1" x14ac:dyDescent="0.2">
      <c r="A759" s="64"/>
      <c r="B759" s="64"/>
      <c r="F759" s="64"/>
    </row>
    <row r="760" spans="1:6" ht="12.75" customHeight="1" x14ac:dyDescent="0.2">
      <c r="A760" s="64"/>
      <c r="B760" s="64"/>
      <c r="F760" s="64"/>
    </row>
    <row r="761" spans="1:6" ht="12.75" customHeight="1" x14ac:dyDescent="0.2">
      <c r="A761" s="64"/>
      <c r="B761" s="64"/>
      <c r="F761" s="64"/>
    </row>
    <row r="762" spans="1:6" ht="12.75" customHeight="1" x14ac:dyDescent="0.2">
      <c r="A762" s="64"/>
      <c r="B762" s="64"/>
      <c r="F762" s="64"/>
    </row>
    <row r="763" spans="1:6" ht="12.75" customHeight="1" x14ac:dyDescent="0.2">
      <c r="A763" s="64"/>
      <c r="B763" s="64"/>
      <c r="F763" s="64"/>
    </row>
    <row r="764" spans="1:6" ht="12.75" customHeight="1" x14ac:dyDescent="0.2">
      <c r="A764" s="64"/>
      <c r="B764" s="64"/>
      <c r="F764" s="64"/>
    </row>
    <row r="765" spans="1:6" ht="12.75" customHeight="1" x14ac:dyDescent="0.2">
      <c r="A765" s="64"/>
      <c r="B765" s="64"/>
      <c r="F765" s="64"/>
    </row>
    <row r="766" spans="1:6" ht="12.75" customHeight="1" x14ac:dyDescent="0.2">
      <c r="A766" s="64"/>
      <c r="B766" s="64"/>
      <c r="F766" s="64"/>
    </row>
    <row r="767" spans="1:6" ht="12.75" customHeight="1" x14ac:dyDescent="0.2">
      <c r="A767" s="64"/>
      <c r="B767" s="64"/>
      <c r="F767" s="64"/>
    </row>
    <row r="768" spans="1:6" ht="12.75" customHeight="1" x14ac:dyDescent="0.2">
      <c r="A768" s="64"/>
      <c r="B768" s="64"/>
      <c r="F768" s="64"/>
    </row>
    <row r="769" spans="1:6" ht="12.75" customHeight="1" x14ac:dyDescent="0.2">
      <c r="A769" s="64"/>
      <c r="B769" s="64"/>
      <c r="F769" s="64"/>
    </row>
    <row r="770" spans="1:6" ht="12.75" customHeight="1" x14ac:dyDescent="0.2">
      <c r="A770" s="64"/>
      <c r="B770" s="64"/>
      <c r="F770" s="64"/>
    </row>
    <row r="771" spans="1:6" ht="12.75" customHeight="1" x14ac:dyDescent="0.2">
      <c r="A771" s="64"/>
      <c r="B771" s="64"/>
      <c r="F771" s="64"/>
    </row>
    <row r="772" spans="1:6" ht="12.75" customHeight="1" x14ac:dyDescent="0.2">
      <c r="A772" s="64"/>
      <c r="B772" s="64"/>
      <c r="F772" s="64"/>
    </row>
    <row r="773" spans="1:6" ht="12.75" customHeight="1" x14ac:dyDescent="0.2">
      <c r="A773" s="64"/>
      <c r="B773" s="64"/>
      <c r="F773" s="64"/>
    </row>
    <row r="774" spans="1:6" ht="12.75" customHeight="1" x14ac:dyDescent="0.2">
      <c r="A774" s="64"/>
      <c r="B774" s="64"/>
      <c r="F774" s="64"/>
    </row>
    <row r="775" spans="1:6" ht="12.75" customHeight="1" x14ac:dyDescent="0.2">
      <c r="A775" s="64"/>
      <c r="B775" s="64"/>
      <c r="F775" s="64"/>
    </row>
    <row r="776" spans="1:6" ht="12.75" customHeight="1" x14ac:dyDescent="0.2">
      <c r="A776" s="64"/>
      <c r="B776" s="64"/>
      <c r="F776" s="64"/>
    </row>
    <row r="777" spans="1:6" ht="12.75" customHeight="1" x14ac:dyDescent="0.2">
      <c r="A777" s="64"/>
      <c r="B777" s="64"/>
      <c r="F777" s="64"/>
    </row>
    <row r="778" spans="1:6" ht="12.75" customHeight="1" x14ac:dyDescent="0.2">
      <c r="A778" s="64"/>
      <c r="B778" s="64"/>
      <c r="F778" s="64"/>
    </row>
    <row r="779" spans="1:6" ht="12.75" customHeight="1" x14ac:dyDescent="0.2">
      <c r="A779" s="64"/>
      <c r="B779" s="64"/>
      <c r="F779" s="64"/>
    </row>
    <row r="780" spans="1:6" ht="12.75" customHeight="1" x14ac:dyDescent="0.2">
      <c r="A780" s="64"/>
      <c r="B780" s="64"/>
      <c r="F780" s="64"/>
    </row>
    <row r="781" spans="1:6" ht="12.75" customHeight="1" x14ac:dyDescent="0.2">
      <c r="A781" s="64"/>
      <c r="B781" s="64"/>
      <c r="F781" s="64"/>
    </row>
    <row r="782" spans="1:6" ht="12.75" customHeight="1" x14ac:dyDescent="0.2">
      <c r="A782" s="64"/>
      <c r="B782" s="64"/>
      <c r="F782" s="64"/>
    </row>
    <row r="783" spans="1:6" ht="12.75" customHeight="1" x14ac:dyDescent="0.2">
      <c r="A783" s="64"/>
      <c r="B783" s="64"/>
      <c r="F783" s="64"/>
    </row>
    <row r="784" spans="1:6" ht="12.75" customHeight="1" x14ac:dyDescent="0.2">
      <c r="A784" s="64"/>
      <c r="B784" s="64"/>
      <c r="F784" s="64"/>
    </row>
    <row r="785" spans="1:6" ht="12.75" customHeight="1" x14ac:dyDescent="0.2">
      <c r="A785" s="64"/>
      <c r="B785" s="64"/>
      <c r="F785" s="64"/>
    </row>
    <row r="786" spans="1:6" ht="12.75" customHeight="1" x14ac:dyDescent="0.2">
      <c r="A786" s="64"/>
      <c r="B786" s="64"/>
      <c r="F786" s="64"/>
    </row>
    <row r="787" spans="1:6" ht="12.75" customHeight="1" x14ac:dyDescent="0.2">
      <c r="A787" s="64"/>
      <c r="B787" s="64"/>
      <c r="F787" s="64"/>
    </row>
    <row r="788" spans="1:6" ht="12.75" customHeight="1" x14ac:dyDescent="0.2">
      <c r="A788" s="64"/>
      <c r="B788" s="64"/>
      <c r="F788" s="64"/>
    </row>
    <row r="789" spans="1:6" ht="12.75" customHeight="1" x14ac:dyDescent="0.2">
      <c r="A789" s="64"/>
      <c r="B789" s="64"/>
      <c r="F789" s="64"/>
    </row>
    <row r="790" spans="1:6" ht="12.75" customHeight="1" x14ac:dyDescent="0.2">
      <c r="A790" s="64"/>
      <c r="B790" s="64"/>
      <c r="F790" s="64"/>
    </row>
    <row r="791" spans="1:6" ht="12.75" customHeight="1" x14ac:dyDescent="0.2">
      <c r="A791" s="64"/>
      <c r="B791" s="64"/>
      <c r="F791" s="64"/>
    </row>
    <row r="792" spans="1:6" ht="12.75" customHeight="1" x14ac:dyDescent="0.2">
      <c r="A792" s="64"/>
      <c r="B792" s="64"/>
      <c r="F792" s="64"/>
    </row>
    <row r="793" spans="1:6" ht="12.75" customHeight="1" x14ac:dyDescent="0.2">
      <c r="A793" s="64"/>
      <c r="B793" s="64"/>
      <c r="F793" s="64"/>
    </row>
    <row r="794" spans="1:6" ht="12.75" customHeight="1" x14ac:dyDescent="0.2">
      <c r="A794" s="64"/>
      <c r="B794" s="64"/>
      <c r="F794" s="64"/>
    </row>
    <row r="795" spans="1:6" ht="12.75" customHeight="1" x14ac:dyDescent="0.2">
      <c r="A795" s="64"/>
      <c r="B795" s="64"/>
      <c r="F795" s="64"/>
    </row>
    <row r="796" spans="1:6" ht="12.75" customHeight="1" x14ac:dyDescent="0.2">
      <c r="A796" s="64"/>
      <c r="B796" s="64"/>
      <c r="F796" s="64"/>
    </row>
    <row r="797" spans="1:6" ht="12.75" customHeight="1" x14ac:dyDescent="0.2">
      <c r="A797" s="64"/>
      <c r="B797" s="64"/>
      <c r="F797" s="64"/>
    </row>
    <row r="798" spans="1:6" ht="12.75" customHeight="1" x14ac:dyDescent="0.2">
      <c r="A798" s="64"/>
      <c r="B798" s="64"/>
      <c r="F798" s="64"/>
    </row>
    <row r="799" spans="1:6" ht="12.75" customHeight="1" x14ac:dyDescent="0.2">
      <c r="A799" s="64"/>
      <c r="B799" s="64"/>
      <c r="F799" s="64"/>
    </row>
    <row r="800" spans="1:6" ht="12.75" customHeight="1" x14ac:dyDescent="0.2">
      <c r="A800" s="64"/>
      <c r="B800" s="64"/>
      <c r="F800" s="64"/>
    </row>
    <row r="801" spans="1:6" ht="12.75" customHeight="1" x14ac:dyDescent="0.2">
      <c r="A801" s="64"/>
      <c r="B801" s="64"/>
      <c r="F801" s="64"/>
    </row>
    <row r="802" spans="1:6" ht="12.75" customHeight="1" x14ac:dyDescent="0.2">
      <c r="A802" s="64"/>
      <c r="B802" s="64"/>
      <c r="F802" s="64"/>
    </row>
    <row r="803" spans="1:6" ht="12.75" customHeight="1" x14ac:dyDescent="0.2">
      <c r="A803" s="64"/>
      <c r="B803" s="64"/>
      <c r="F803" s="64"/>
    </row>
    <row r="804" spans="1:6" ht="12.75" customHeight="1" x14ac:dyDescent="0.2">
      <c r="A804" s="64"/>
      <c r="B804" s="64"/>
      <c r="F804" s="64"/>
    </row>
    <row r="805" spans="1:6" ht="12.75" customHeight="1" x14ac:dyDescent="0.2">
      <c r="A805" s="64"/>
      <c r="B805" s="64"/>
      <c r="F805" s="64"/>
    </row>
    <row r="806" spans="1:6" ht="12.75" customHeight="1" x14ac:dyDescent="0.2">
      <c r="A806" s="64"/>
      <c r="B806" s="64"/>
      <c r="F806" s="64"/>
    </row>
    <row r="807" spans="1:6" ht="12.75" customHeight="1" x14ac:dyDescent="0.2">
      <c r="A807" s="64"/>
      <c r="B807" s="64"/>
      <c r="F807" s="64"/>
    </row>
    <row r="808" spans="1:6" ht="12.75" customHeight="1" x14ac:dyDescent="0.2">
      <c r="A808" s="64"/>
      <c r="B808" s="64"/>
      <c r="F808" s="64"/>
    </row>
    <row r="809" spans="1:6" ht="12.75" customHeight="1" x14ac:dyDescent="0.2">
      <c r="A809" s="64"/>
      <c r="B809" s="64"/>
      <c r="F809" s="64"/>
    </row>
    <row r="810" spans="1:6" ht="12.75" customHeight="1" x14ac:dyDescent="0.2">
      <c r="A810" s="64"/>
      <c r="B810" s="64"/>
      <c r="F810" s="64"/>
    </row>
    <row r="811" spans="1:6" ht="12.75" customHeight="1" x14ac:dyDescent="0.2">
      <c r="A811" s="64"/>
      <c r="B811" s="64"/>
      <c r="F811" s="64"/>
    </row>
    <row r="812" spans="1:6" ht="12.75" customHeight="1" x14ac:dyDescent="0.2">
      <c r="A812" s="64"/>
      <c r="B812" s="64"/>
      <c r="F812" s="64"/>
    </row>
    <row r="813" spans="1:6" ht="12.75" customHeight="1" x14ac:dyDescent="0.2">
      <c r="A813" s="64"/>
      <c r="B813" s="64"/>
      <c r="F813" s="64"/>
    </row>
    <row r="814" spans="1:6" ht="12.75" customHeight="1" x14ac:dyDescent="0.2">
      <c r="A814" s="64"/>
      <c r="B814" s="64"/>
      <c r="F814" s="64"/>
    </row>
    <row r="815" spans="1:6" ht="12.75" customHeight="1" x14ac:dyDescent="0.2">
      <c r="A815" s="64"/>
      <c r="B815" s="64"/>
      <c r="F815" s="64"/>
    </row>
    <row r="816" spans="1:6" ht="12.75" customHeight="1" x14ac:dyDescent="0.2">
      <c r="A816" s="64"/>
      <c r="B816" s="64"/>
      <c r="F816" s="64"/>
    </row>
    <row r="817" spans="1:6" ht="12.75" customHeight="1" x14ac:dyDescent="0.2">
      <c r="A817" s="64"/>
      <c r="B817" s="64"/>
      <c r="F817" s="64"/>
    </row>
    <row r="818" spans="1:6" ht="12.75" customHeight="1" x14ac:dyDescent="0.2">
      <c r="A818" s="64"/>
      <c r="B818" s="64"/>
      <c r="F818" s="64"/>
    </row>
    <row r="819" spans="1:6" ht="12.75" customHeight="1" x14ac:dyDescent="0.2">
      <c r="A819" s="64"/>
      <c r="B819" s="64"/>
      <c r="F819" s="64"/>
    </row>
    <row r="820" spans="1:6" ht="12.75" customHeight="1" x14ac:dyDescent="0.2">
      <c r="A820" s="64"/>
      <c r="B820" s="64"/>
      <c r="F820" s="64"/>
    </row>
    <row r="821" spans="1:6" ht="12.75" customHeight="1" x14ac:dyDescent="0.2">
      <c r="A821" s="64"/>
      <c r="B821" s="64"/>
      <c r="F821" s="64"/>
    </row>
    <row r="822" spans="1:6" ht="12.75" customHeight="1" x14ac:dyDescent="0.2">
      <c r="A822" s="64"/>
      <c r="B822" s="64"/>
      <c r="F822" s="64"/>
    </row>
    <row r="823" spans="1:6" ht="12.75" customHeight="1" x14ac:dyDescent="0.2">
      <c r="A823" s="64"/>
      <c r="B823" s="64"/>
      <c r="F823" s="64"/>
    </row>
    <row r="824" spans="1:6" ht="12.75" customHeight="1" x14ac:dyDescent="0.2">
      <c r="A824" s="64"/>
      <c r="B824" s="64"/>
      <c r="F824" s="64"/>
    </row>
    <row r="825" spans="1:6" ht="12.75" customHeight="1" x14ac:dyDescent="0.2">
      <c r="A825" s="64"/>
      <c r="B825" s="64"/>
      <c r="F825" s="64"/>
    </row>
    <row r="826" spans="1:6" ht="12.75" customHeight="1" x14ac:dyDescent="0.2">
      <c r="A826" s="64"/>
      <c r="B826" s="64"/>
      <c r="F826" s="64"/>
    </row>
    <row r="827" spans="1:6" ht="12.75" customHeight="1" x14ac:dyDescent="0.2">
      <c r="A827" s="64"/>
      <c r="B827" s="64"/>
      <c r="F827" s="64"/>
    </row>
    <row r="828" spans="1:6" ht="12.75" customHeight="1" x14ac:dyDescent="0.2">
      <c r="A828" s="64"/>
      <c r="B828" s="64"/>
      <c r="F828" s="64"/>
    </row>
    <row r="829" spans="1:6" ht="12.75" customHeight="1" x14ac:dyDescent="0.2">
      <c r="A829" s="64"/>
      <c r="B829" s="64"/>
      <c r="F829" s="64"/>
    </row>
    <row r="830" spans="1:6" ht="12.75" customHeight="1" x14ac:dyDescent="0.2">
      <c r="A830" s="64"/>
      <c r="B830" s="64"/>
      <c r="F830" s="64"/>
    </row>
    <row r="831" spans="1:6" ht="12.75" customHeight="1" x14ac:dyDescent="0.2">
      <c r="A831" s="64"/>
      <c r="B831" s="64"/>
      <c r="F831" s="64"/>
    </row>
    <row r="832" spans="1:6" ht="12.75" customHeight="1" x14ac:dyDescent="0.2">
      <c r="A832" s="64"/>
      <c r="B832" s="64"/>
      <c r="F832" s="64"/>
    </row>
    <row r="833" spans="1:6" ht="12.75" customHeight="1" x14ac:dyDescent="0.2">
      <c r="A833" s="64"/>
      <c r="B833" s="64"/>
      <c r="F833" s="64"/>
    </row>
    <row r="834" spans="1:6" ht="12.75" customHeight="1" x14ac:dyDescent="0.2">
      <c r="A834" s="64"/>
      <c r="B834" s="64"/>
      <c r="F834" s="64"/>
    </row>
    <row r="835" spans="1:6" ht="12.75" customHeight="1" x14ac:dyDescent="0.2">
      <c r="A835" s="64"/>
      <c r="B835" s="64"/>
      <c r="F835" s="64"/>
    </row>
    <row r="836" spans="1:6" ht="12.75" customHeight="1" x14ac:dyDescent="0.2">
      <c r="A836" s="64"/>
      <c r="B836" s="64"/>
      <c r="F836" s="64"/>
    </row>
    <row r="837" spans="1:6" ht="12.75" customHeight="1" x14ac:dyDescent="0.2">
      <c r="A837" s="64"/>
      <c r="B837" s="64"/>
      <c r="F837" s="64"/>
    </row>
    <row r="838" spans="1:6" ht="12.75" customHeight="1" x14ac:dyDescent="0.2">
      <c r="A838" s="64"/>
      <c r="B838" s="64"/>
      <c r="F838" s="64"/>
    </row>
    <row r="839" spans="1:6" ht="12.75" customHeight="1" x14ac:dyDescent="0.2">
      <c r="A839" s="64"/>
      <c r="B839" s="64"/>
      <c r="F839" s="64"/>
    </row>
    <row r="840" spans="1:6" ht="12.75" customHeight="1" x14ac:dyDescent="0.2">
      <c r="A840" s="64"/>
      <c r="B840" s="64"/>
      <c r="F840" s="64"/>
    </row>
    <row r="841" spans="1:6" ht="12.75" customHeight="1" x14ac:dyDescent="0.2">
      <c r="A841" s="64"/>
      <c r="B841" s="64"/>
      <c r="F841" s="64"/>
    </row>
    <row r="842" spans="1:6" ht="12.75" customHeight="1" x14ac:dyDescent="0.2">
      <c r="A842" s="64"/>
      <c r="B842" s="64"/>
      <c r="F842" s="64"/>
    </row>
    <row r="843" spans="1:6" ht="12.75" customHeight="1" x14ac:dyDescent="0.2">
      <c r="A843" s="64"/>
      <c r="B843" s="64"/>
      <c r="F843" s="64"/>
    </row>
    <row r="844" spans="1:6" ht="12.75" customHeight="1" x14ac:dyDescent="0.2">
      <c r="A844" s="64"/>
      <c r="B844" s="64"/>
      <c r="F844" s="64"/>
    </row>
    <row r="845" spans="1:6" ht="12.75" customHeight="1" x14ac:dyDescent="0.2">
      <c r="A845" s="64"/>
      <c r="B845" s="64"/>
      <c r="F845" s="64"/>
    </row>
    <row r="846" spans="1:6" ht="12.75" customHeight="1" x14ac:dyDescent="0.2">
      <c r="A846" s="64"/>
      <c r="B846" s="64"/>
      <c r="F846" s="64"/>
    </row>
    <row r="847" spans="1:6" ht="12.75" customHeight="1" x14ac:dyDescent="0.2">
      <c r="A847" s="64"/>
      <c r="B847" s="64"/>
      <c r="F847" s="64"/>
    </row>
    <row r="848" spans="1:6" ht="12.75" customHeight="1" x14ac:dyDescent="0.2">
      <c r="A848" s="64"/>
      <c r="B848" s="64"/>
      <c r="F848" s="64"/>
    </row>
    <row r="849" spans="1:6" ht="12.75" customHeight="1" x14ac:dyDescent="0.2">
      <c r="A849" s="64"/>
      <c r="B849" s="64"/>
      <c r="F849" s="64"/>
    </row>
    <row r="850" spans="1:6" ht="12.75" customHeight="1" x14ac:dyDescent="0.2">
      <c r="A850" s="64"/>
      <c r="B850" s="64"/>
      <c r="F850" s="64"/>
    </row>
    <row r="851" spans="1:6" ht="12.75" customHeight="1" x14ac:dyDescent="0.2">
      <c r="A851" s="64"/>
      <c r="B851" s="64"/>
      <c r="F851" s="64"/>
    </row>
    <row r="852" spans="1:6" ht="12.75" customHeight="1" x14ac:dyDescent="0.2">
      <c r="A852" s="64"/>
      <c r="B852" s="64"/>
      <c r="F852" s="64"/>
    </row>
    <row r="853" spans="1:6" ht="12.75" customHeight="1" x14ac:dyDescent="0.2">
      <c r="A853" s="64"/>
      <c r="B853" s="64"/>
      <c r="F853" s="64"/>
    </row>
    <row r="854" spans="1:6" ht="12.75" customHeight="1" x14ac:dyDescent="0.2">
      <c r="A854" s="64"/>
      <c r="B854" s="64"/>
      <c r="F854" s="64"/>
    </row>
    <row r="855" spans="1:6" ht="12.75" customHeight="1" x14ac:dyDescent="0.2">
      <c r="A855" s="64"/>
      <c r="B855" s="64"/>
      <c r="F855" s="64"/>
    </row>
    <row r="856" spans="1:6" ht="12.75" customHeight="1" x14ac:dyDescent="0.2">
      <c r="A856" s="64"/>
      <c r="B856" s="64"/>
      <c r="F856" s="64"/>
    </row>
    <row r="857" spans="1:6" ht="12.75" customHeight="1" x14ac:dyDescent="0.2">
      <c r="A857" s="64"/>
      <c r="B857" s="64"/>
      <c r="F857" s="64"/>
    </row>
    <row r="858" spans="1:6" ht="12.75" customHeight="1" x14ac:dyDescent="0.2">
      <c r="A858" s="64"/>
      <c r="B858" s="64"/>
      <c r="F858" s="64"/>
    </row>
    <row r="859" spans="1:6" ht="12.75" customHeight="1" x14ac:dyDescent="0.2">
      <c r="A859" s="64"/>
      <c r="B859" s="64"/>
      <c r="F859" s="64"/>
    </row>
    <row r="860" spans="1:6" ht="12.75" customHeight="1" x14ac:dyDescent="0.2">
      <c r="A860" s="64"/>
      <c r="B860" s="64"/>
      <c r="F860" s="64"/>
    </row>
    <row r="861" spans="1:6" ht="12.75" customHeight="1" x14ac:dyDescent="0.2">
      <c r="A861" s="64"/>
      <c r="B861" s="64"/>
      <c r="F861" s="64"/>
    </row>
    <row r="862" spans="1:6" ht="12.75" customHeight="1" x14ac:dyDescent="0.2">
      <c r="A862" s="64"/>
      <c r="B862" s="64"/>
      <c r="F862" s="64"/>
    </row>
    <row r="863" spans="1:6" ht="12.75" customHeight="1" x14ac:dyDescent="0.2">
      <c r="A863" s="64"/>
      <c r="B863" s="64"/>
      <c r="F863" s="64"/>
    </row>
    <row r="864" spans="1:6" ht="12.75" customHeight="1" x14ac:dyDescent="0.2">
      <c r="A864" s="64"/>
      <c r="B864" s="64"/>
      <c r="F864" s="64"/>
    </row>
    <row r="865" spans="1:6" ht="12.75" customHeight="1" x14ac:dyDescent="0.2">
      <c r="A865" s="64"/>
      <c r="B865" s="64"/>
      <c r="F865" s="64"/>
    </row>
    <row r="866" spans="1:6" ht="12.75" customHeight="1" x14ac:dyDescent="0.2">
      <c r="A866" s="64"/>
      <c r="B866" s="64"/>
      <c r="F866" s="64"/>
    </row>
    <row r="867" spans="1:6" ht="12.75" customHeight="1" x14ac:dyDescent="0.2">
      <c r="A867" s="64"/>
      <c r="B867" s="64"/>
      <c r="F867" s="64"/>
    </row>
    <row r="868" spans="1:6" ht="12.75" customHeight="1" x14ac:dyDescent="0.2">
      <c r="A868" s="64"/>
      <c r="B868" s="64"/>
      <c r="F868" s="64"/>
    </row>
    <row r="869" spans="1:6" ht="12.75" customHeight="1" x14ac:dyDescent="0.2">
      <c r="A869" s="64"/>
      <c r="B869" s="64"/>
      <c r="F869" s="64"/>
    </row>
    <row r="870" spans="1:6" ht="12.75" customHeight="1" x14ac:dyDescent="0.2">
      <c r="A870" s="64"/>
      <c r="B870" s="64"/>
      <c r="F870" s="64"/>
    </row>
    <row r="871" spans="1:6" ht="12.75" customHeight="1" x14ac:dyDescent="0.2">
      <c r="A871" s="64"/>
      <c r="B871" s="64"/>
      <c r="F871" s="64"/>
    </row>
    <row r="872" spans="1:6" ht="12.75" customHeight="1" x14ac:dyDescent="0.2">
      <c r="A872" s="64"/>
      <c r="B872" s="64"/>
      <c r="F872" s="64"/>
    </row>
    <row r="873" spans="1:6" ht="12.75" customHeight="1" x14ac:dyDescent="0.2">
      <c r="A873" s="64"/>
      <c r="B873" s="64"/>
      <c r="F873" s="64"/>
    </row>
    <row r="874" spans="1:6" ht="12.75" customHeight="1" x14ac:dyDescent="0.2">
      <c r="A874" s="64"/>
      <c r="B874" s="64"/>
      <c r="F874" s="64"/>
    </row>
    <row r="875" spans="1:6" ht="12.75" customHeight="1" x14ac:dyDescent="0.2">
      <c r="A875" s="64"/>
      <c r="B875" s="64"/>
      <c r="F875" s="64"/>
    </row>
    <row r="876" spans="1:6" ht="12.75" customHeight="1" x14ac:dyDescent="0.2">
      <c r="A876" s="64"/>
      <c r="B876" s="64"/>
      <c r="F876" s="64"/>
    </row>
    <row r="877" spans="1:6" ht="12.75" customHeight="1" x14ac:dyDescent="0.2">
      <c r="A877" s="64"/>
      <c r="B877" s="64"/>
      <c r="F877" s="64"/>
    </row>
    <row r="878" spans="1:6" ht="12.75" customHeight="1" x14ac:dyDescent="0.2">
      <c r="A878" s="64"/>
      <c r="B878" s="64"/>
      <c r="F878" s="64"/>
    </row>
    <row r="879" spans="1:6" ht="12.75" customHeight="1" x14ac:dyDescent="0.2">
      <c r="A879" s="64"/>
      <c r="B879" s="64"/>
      <c r="F879" s="64"/>
    </row>
    <row r="880" spans="1:6" ht="12.75" customHeight="1" x14ac:dyDescent="0.2">
      <c r="A880" s="64"/>
      <c r="B880" s="64"/>
      <c r="F880" s="64"/>
    </row>
    <row r="881" spans="1:6" ht="12.75" customHeight="1" x14ac:dyDescent="0.2">
      <c r="A881" s="64"/>
      <c r="B881" s="64"/>
      <c r="F881" s="64"/>
    </row>
    <row r="882" spans="1:6" ht="12.75" customHeight="1" x14ac:dyDescent="0.2">
      <c r="A882" s="64"/>
      <c r="B882" s="64"/>
      <c r="F882" s="64"/>
    </row>
    <row r="883" spans="1:6" ht="12.75" customHeight="1" x14ac:dyDescent="0.2">
      <c r="A883" s="64"/>
      <c r="B883" s="64"/>
      <c r="F883" s="64"/>
    </row>
    <row r="884" spans="1:6" ht="12.75" customHeight="1" x14ac:dyDescent="0.2">
      <c r="A884" s="64"/>
      <c r="B884" s="64"/>
      <c r="F884" s="64"/>
    </row>
    <row r="885" spans="1:6" ht="12.75" customHeight="1" x14ac:dyDescent="0.2">
      <c r="A885" s="64"/>
      <c r="B885" s="64"/>
      <c r="F885" s="64"/>
    </row>
    <row r="886" spans="1:6" ht="12.75" customHeight="1" x14ac:dyDescent="0.2">
      <c r="A886" s="64"/>
      <c r="B886" s="64"/>
      <c r="F886" s="64"/>
    </row>
    <row r="887" spans="1:6" ht="12.75" customHeight="1" x14ac:dyDescent="0.2">
      <c r="A887" s="64"/>
      <c r="B887" s="64"/>
      <c r="F887" s="64"/>
    </row>
    <row r="888" spans="1:6" ht="12.75" customHeight="1" x14ac:dyDescent="0.2">
      <c r="A888" s="64"/>
      <c r="B888" s="64"/>
      <c r="F888" s="64"/>
    </row>
    <row r="889" spans="1:6" ht="12.75" customHeight="1" x14ac:dyDescent="0.2">
      <c r="A889" s="64"/>
      <c r="B889" s="64"/>
      <c r="F889" s="64"/>
    </row>
    <row r="890" spans="1:6" ht="12.75" customHeight="1" x14ac:dyDescent="0.2">
      <c r="A890" s="64"/>
      <c r="B890" s="64"/>
      <c r="F890" s="64"/>
    </row>
    <row r="891" spans="1:6" ht="12.75" customHeight="1" x14ac:dyDescent="0.2">
      <c r="A891" s="64"/>
      <c r="B891" s="64"/>
      <c r="F891" s="64"/>
    </row>
    <row r="892" spans="1:6" ht="12.75" customHeight="1" x14ac:dyDescent="0.2">
      <c r="A892" s="64"/>
      <c r="B892" s="64"/>
      <c r="F892" s="64"/>
    </row>
    <row r="893" spans="1:6" ht="12.75" customHeight="1" x14ac:dyDescent="0.2">
      <c r="A893" s="64"/>
      <c r="B893" s="64"/>
      <c r="F893" s="64"/>
    </row>
    <row r="894" spans="1:6" ht="12.75" customHeight="1" x14ac:dyDescent="0.2">
      <c r="A894" s="64"/>
      <c r="B894" s="64"/>
      <c r="F894" s="64"/>
    </row>
    <row r="895" spans="1:6" ht="12.75" customHeight="1" x14ac:dyDescent="0.2">
      <c r="A895" s="64"/>
      <c r="B895" s="64"/>
      <c r="F895" s="64"/>
    </row>
    <row r="896" spans="1:6" ht="12.75" customHeight="1" x14ac:dyDescent="0.2">
      <c r="A896" s="64"/>
      <c r="B896" s="64"/>
      <c r="F896" s="64"/>
    </row>
    <row r="897" spans="1:6" ht="12.75" customHeight="1" x14ac:dyDescent="0.2">
      <c r="A897" s="64"/>
      <c r="B897" s="64"/>
      <c r="F897" s="64"/>
    </row>
    <row r="898" spans="1:6" ht="12.75" customHeight="1" x14ac:dyDescent="0.2">
      <c r="A898" s="64"/>
      <c r="B898" s="64"/>
      <c r="F898" s="64"/>
    </row>
    <row r="899" spans="1:6" ht="12.75" customHeight="1" x14ac:dyDescent="0.2">
      <c r="A899" s="64"/>
      <c r="B899" s="64"/>
      <c r="F899" s="64"/>
    </row>
    <row r="900" spans="1:6" ht="12.75" customHeight="1" x14ac:dyDescent="0.2">
      <c r="A900" s="64"/>
      <c r="B900" s="64"/>
      <c r="F900" s="64"/>
    </row>
    <row r="901" spans="1:6" ht="12.75" customHeight="1" x14ac:dyDescent="0.2">
      <c r="A901" s="64"/>
      <c r="B901" s="64"/>
      <c r="F901" s="64"/>
    </row>
    <row r="902" spans="1:6" ht="12.75" customHeight="1" x14ac:dyDescent="0.2">
      <c r="A902" s="64"/>
      <c r="B902" s="64"/>
      <c r="F902" s="64"/>
    </row>
    <row r="903" spans="1:6" ht="12.75" customHeight="1" x14ac:dyDescent="0.2">
      <c r="A903" s="64"/>
      <c r="B903" s="64"/>
      <c r="F903" s="64"/>
    </row>
    <row r="904" spans="1:6" ht="12.75" customHeight="1" x14ac:dyDescent="0.2">
      <c r="A904" s="64"/>
      <c r="B904" s="64"/>
      <c r="F904" s="64"/>
    </row>
    <row r="905" spans="1:6" ht="12.75" customHeight="1" x14ac:dyDescent="0.2">
      <c r="A905" s="64"/>
      <c r="B905" s="64"/>
      <c r="F905" s="64"/>
    </row>
    <row r="906" spans="1:6" ht="12.75" customHeight="1" x14ac:dyDescent="0.2">
      <c r="A906" s="64"/>
      <c r="B906" s="64"/>
      <c r="F906" s="64"/>
    </row>
    <row r="907" spans="1:6" ht="12.75" customHeight="1" x14ac:dyDescent="0.2">
      <c r="A907" s="64"/>
      <c r="B907" s="64"/>
      <c r="F907" s="64"/>
    </row>
    <row r="908" spans="1:6" ht="12.75" customHeight="1" x14ac:dyDescent="0.2">
      <c r="A908" s="64"/>
      <c r="B908" s="64"/>
      <c r="F908" s="64"/>
    </row>
    <row r="909" spans="1:6" ht="12.75" customHeight="1" x14ac:dyDescent="0.2">
      <c r="A909" s="64"/>
      <c r="B909" s="64"/>
      <c r="F909" s="64"/>
    </row>
    <row r="910" spans="1:6" ht="12.75" customHeight="1" x14ac:dyDescent="0.2">
      <c r="A910" s="64"/>
      <c r="B910" s="64"/>
      <c r="F910" s="64"/>
    </row>
    <row r="911" spans="1:6" ht="12.75" customHeight="1" x14ac:dyDescent="0.2">
      <c r="A911" s="64"/>
      <c r="B911" s="64"/>
      <c r="F911" s="64"/>
    </row>
    <row r="912" spans="1:6" ht="12.75" customHeight="1" x14ac:dyDescent="0.2">
      <c r="A912" s="64"/>
      <c r="B912" s="64"/>
      <c r="F912" s="64"/>
    </row>
    <row r="913" spans="1:6" ht="12.75" customHeight="1" x14ac:dyDescent="0.2">
      <c r="A913" s="64"/>
      <c r="B913" s="64"/>
      <c r="F913" s="64"/>
    </row>
    <row r="914" spans="1:6" ht="12.75" customHeight="1" x14ac:dyDescent="0.2">
      <c r="A914" s="64"/>
      <c r="B914" s="64"/>
      <c r="F914" s="64"/>
    </row>
    <row r="915" spans="1:6" ht="12.75" customHeight="1" x14ac:dyDescent="0.2">
      <c r="A915" s="64"/>
      <c r="B915" s="64"/>
      <c r="F915" s="64"/>
    </row>
    <row r="916" spans="1:6" ht="12.75" customHeight="1" x14ac:dyDescent="0.2">
      <c r="A916" s="64"/>
      <c r="B916" s="64"/>
      <c r="F916" s="64"/>
    </row>
    <row r="917" spans="1:6" ht="12.75" customHeight="1" x14ac:dyDescent="0.2">
      <c r="A917" s="64"/>
      <c r="B917" s="64"/>
      <c r="F917" s="64"/>
    </row>
    <row r="918" spans="1:6" ht="12.75" customHeight="1" x14ac:dyDescent="0.2">
      <c r="A918" s="64"/>
      <c r="B918" s="64"/>
      <c r="F918" s="64"/>
    </row>
    <row r="919" spans="1:6" ht="12.75" customHeight="1" x14ac:dyDescent="0.2">
      <c r="A919" s="64"/>
      <c r="B919" s="64"/>
      <c r="F919" s="64"/>
    </row>
    <row r="920" spans="1:6" ht="12.75" customHeight="1" x14ac:dyDescent="0.2">
      <c r="A920" s="64"/>
      <c r="B920" s="64"/>
      <c r="F920" s="64"/>
    </row>
    <row r="921" spans="1:6" ht="12.75" customHeight="1" x14ac:dyDescent="0.2">
      <c r="A921" s="64"/>
      <c r="B921" s="64"/>
      <c r="F921" s="64"/>
    </row>
    <row r="922" spans="1:6" ht="12.75" customHeight="1" x14ac:dyDescent="0.2">
      <c r="A922" s="64"/>
      <c r="B922" s="64"/>
      <c r="F922" s="64"/>
    </row>
    <row r="923" spans="1:6" ht="12.75" customHeight="1" x14ac:dyDescent="0.2">
      <c r="A923" s="64"/>
      <c r="B923" s="64"/>
      <c r="F923" s="64"/>
    </row>
    <row r="924" spans="1:6" ht="12.75" customHeight="1" x14ac:dyDescent="0.2">
      <c r="A924" s="64"/>
      <c r="B924" s="64"/>
      <c r="F924" s="64"/>
    </row>
    <row r="925" spans="1:6" ht="12.75" customHeight="1" x14ac:dyDescent="0.2">
      <c r="A925" s="64"/>
      <c r="B925" s="64"/>
      <c r="F925" s="64"/>
    </row>
    <row r="926" spans="1:6" ht="12.75" customHeight="1" x14ac:dyDescent="0.2">
      <c r="A926" s="64"/>
      <c r="B926" s="64"/>
      <c r="F926" s="64"/>
    </row>
    <row r="927" spans="1:6" ht="12.75" customHeight="1" x14ac:dyDescent="0.2">
      <c r="A927" s="64"/>
      <c r="B927" s="64"/>
      <c r="F927" s="64"/>
    </row>
    <row r="928" spans="1:6" ht="12.75" customHeight="1" x14ac:dyDescent="0.2">
      <c r="A928" s="64"/>
      <c r="B928" s="64"/>
      <c r="F928" s="64"/>
    </row>
    <row r="929" spans="1:6" ht="12.75" customHeight="1" x14ac:dyDescent="0.2">
      <c r="A929" s="64"/>
      <c r="B929" s="64"/>
      <c r="F929" s="64"/>
    </row>
    <row r="930" spans="1:6" ht="12.75" customHeight="1" x14ac:dyDescent="0.2">
      <c r="A930" s="64"/>
      <c r="B930" s="64"/>
      <c r="F930" s="64"/>
    </row>
    <row r="931" spans="1:6" ht="12.75" customHeight="1" x14ac:dyDescent="0.2">
      <c r="A931" s="64"/>
      <c r="B931" s="64"/>
      <c r="F931" s="64"/>
    </row>
    <row r="932" spans="1:6" ht="12.75" customHeight="1" x14ac:dyDescent="0.2">
      <c r="A932" s="64"/>
      <c r="B932" s="64"/>
      <c r="F932" s="64"/>
    </row>
    <row r="933" spans="1:6" ht="12.75" customHeight="1" x14ac:dyDescent="0.2">
      <c r="A933" s="64"/>
      <c r="B933" s="64"/>
      <c r="F933" s="64"/>
    </row>
    <row r="934" spans="1:6" ht="12.75" customHeight="1" x14ac:dyDescent="0.2">
      <c r="A934" s="64"/>
      <c r="B934" s="64"/>
      <c r="F934" s="64"/>
    </row>
    <row r="935" spans="1:6" ht="12.75" customHeight="1" x14ac:dyDescent="0.2">
      <c r="A935" s="64"/>
      <c r="B935" s="64"/>
      <c r="F935" s="64"/>
    </row>
    <row r="936" spans="1:6" ht="12.75" customHeight="1" x14ac:dyDescent="0.2">
      <c r="A936" s="64"/>
      <c r="B936" s="64"/>
      <c r="F936" s="64"/>
    </row>
    <row r="937" spans="1:6" ht="12.75" customHeight="1" x14ac:dyDescent="0.2">
      <c r="A937" s="64"/>
      <c r="B937" s="64"/>
      <c r="F937" s="64"/>
    </row>
    <row r="938" spans="1:6" ht="12.75" customHeight="1" x14ac:dyDescent="0.2">
      <c r="A938" s="64"/>
      <c r="B938" s="64"/>
      <c r="F938" s="64"/>
    </row>
    <row r="939" spans="1:6" ht="12.75" customHeight="1" x14ac:dyDescent="0.2">
      <c r="A939" s="64"/>
      <c r="B939" s="64"/>
      <c r="F939" s="64"/>
    </row>
    <row r="940" spans="1:6" ht="12.75" customHeight="1" x14ac:dyDescent="0.2">
      <c r="A940" s="64"/>
      <c r="B940" s="64"/>
      <c r="F940" s="64"/>
    </row>
    <row r="941" spans="1:6" ht="12.75" customHeight="1" x14ac:dyDescent="0.2">
      <c r="A941" s="64"/>
      <c r="B941" s="64"/>
      <c r="F941" s="64"/>
    </row>
    <row r="942" spans="1:6" ht="12.75" customHeight="1" x14ac:dyDescent="0.2">
      <c r="A942" s="64"/>
      <c r="B942" s="64"/>
      <c r="F942" s="64"/>
    </row>
    <row r="943" spans="1:6" ht="12.75" customHeight="1" x14ac:dyDescent="0.2">
      <c r="A943" s="64"/>
      <c r="B943" s="64"/>
      <c r="F943" s="64"/>
    </row>
    <row r="944" spans="1:6" ht="12.75" customHeight="1" x14ac:dyDescent="0.2">
      <c r="A944" s="64"/>
      <c r="B944" s="64"/>
      <c r="F944" s="64"/>
    </row>
    <row r="945" spans="1:6" ht="12.75" customHeight="1" x14ac:dyDescent="0.2">
      <c r="A945" s="64"/>
      <c r="B945" s="64"/>
      <c r="F945" s="64"/>
    </row>
    <row r="946" spans="1:6" ht="12.75" customHeight="1" x14ac:dyDescent="0.2">
      <c r="A946" s="64"/>
      <c r="B946" s="64"/>
      <c r="F946" s="64"/>
    </row>
    <row r="947" spans="1:6" ht="12.75" customHeight="1" x14ac:dyDescent="0.2">
      <c r="A947" s="64"/>
      <c r="B947" s="64"/>
      <c r="F947" s="64"/>
    </row>
    <row r="948" spans="1:6" ht="12.75" customHeight="1" x14ac:dyDescent="0.2">
      <c r="A948" s="64"/>
      <c r="B948" s="64"/>
      <c r="F948" s="64"/>
    </row>
    <row r="949" spans="1:6" ht="12.75" customHeight="1" x14ac:dyDescent="0.2">
      <c r="A949" s="64"/>
      <c r="B949" s="64"/>
      <c r="F949" s="64"/>
    </row>
    <row r="950" spans="1:6" ht="12.75" customHeight="1" x14ac:dyDescent="0.2">
      <c r="A950" s="64"/>
      <c r="B950" s="64"/>
      <c r="F950" s="64"/>
    </row>
    <row r="951" spans="1:6" ht="12.75" customHeight="1" x14ac:dyDescent="0.2">
      <c r="A951" s="64"/>
      <c r="B951" s="64"/>
      <c r="F951" s="64"/>
    </row>
    <row r="952" spans="1:6" ht="12.75" customHeight="1" x14ac:dyDescent="0.2">
      <c r="A952" s="64"/>
      <c r="B952" s="64"/>
      <c r="F952" s="64"/>
    </row>
    <row r="953" spans="1:6" ht="12.75" customHeight="1" x14ac:dyDescent="0.2">
      <c r="A953" s="64"/>
      <c r="B953" s="64"/>
      <c r="F953" s="64"/>
    </row>
    <row r="954" spans="1:6" ht="12.75" customHeight="1" x14ac:dyDescent="0.2">
      <c r="A954" s="64"/>
      <c r="B954" s="64"/>
      <c r="F954" s="64"/>
    </row>
    <row r="955" spans="1:6" ht="12.75" customHeight="1" x14ac:dyDescent="0.2">
      <c r="A955" s="64"/>
      <c r="B955" s="64"/>
      <c r="F955" s="64"/>
    </row>
    <row r="956" spans="1:6" ht="12.75" customHeight="1" x14ac:dyDescent="0.2">
      <c r="A956" s="64"/>
      <c r="B956" s="64"/>
      <c r="F956" s="64"/>
    </row>
    <row r="957" spans="1:6" ht="12.75" customHeight="1" x14ac:dyDescent="0.2">
      <c r="A957" s="64"/>
      <c r="B957" s="64"/>
      <c r="F957" s="64"/>
    </row>
    <row r="958" spans="1:6" ht="12.75" customHeight="1" x14ac:dyDescent="0.2">
      <c r="A958" s="64"/>
      <c r="B958" s="64"/>
      <c r="F958" s="64"/>
    </row>
    <row r="959" spans="1:6" ht="12.75" customHeight="1" x14ac:dyDescent="0.2">
      <c r="A959" s="64"/>
      <c r="B959" s="64"/>
      <c r="F959" s="64"/>
    </row>
    <row r="960" spans="1:6" ht="12.75" customHeight="1" x14ac:dyDescent="0.2">
      <c r="A960" s="64"/>
      <c r="B960" s="64"/>
      <c r="F960" s="64"/>
    </row>
    <row r="961" ht="15" customHeight="1" x14ac:dyDescent="0.2"/>
  </sheetData>
  <mergeCells count="25">
    <mergeCell ref="J8:L8"/>
    <mergeCell ref="M8:S8"/>
    <mergeCell ref="U8:W8"/>
    <mergeCell ref="X8:AD8"/>
    <mergeCell ref="A1:B4"/>
    <mergeCell ref="C1:AB2"/>
    <mergeCell ref="AC1:AC2"/>
    <mergeCell ref="C3:AB4"/>
    <mergeCell ref="AC3:AC4"/>
    <mergeCell ref="B10:B32"/>
    <mergeCell ref="F8:F9"/>
    <mergeCell ref="G8:H8"/>
    <mergeCell ref="I8:I9"/>
    <mergeCell ref="A5:AC5"/>
    <mergeCell ref="A10:A37"/>
    <mergeCell ref="B36:E36"/>
    <mergeCell ref="B37:E37"/>
    <mergeCell ref="A6:E6"/>
    <mergeCell ref="A7:AD7"/>
    <mergeCell ref="A8:A9"/>
    <mergeCell ref="B8:B9"/>
    <mergeCell ref="C8:C9"/>
    <mergeCell ref="D8:D9"/>
    <mergeCell ref="E8:E9"/>
    <mergeCell ref="F6:AC6"/>
  </mergeCells>
  <conditionalFormatting sqref="M10:M14">
    <cfRule type="cellIs" dxfId="152" priority="15" stopIfTrue="1" operator="equal">
      <formula>2</formula>
    </cfRule>
    <cfRule type="cellIs" dxfId="151" priority="16" stopIfTrue="1" operator="equal">
      <formula>0</formula>
    </cfRule>
  </conditionalFormatting>
  <conditionalFormatting sqref="M10:M35">
    <cfRule type="cellIs" dxfId="150" priority="13" stopIfTrue="1" operator="equal">
      <formula>10</formula>
    </cfRule>
    <cfRule type="cellIs" dxfId="149" priority="14" stopIfTrue="1" operator="equal">
      <formula>6</formula>
    </cfRule>
  </conditionalFormatting>
  <conditionalFormatting sqref="M15:M32">
    <cfRule type="cellIs" dxfId="148" priority="46" stopIfTrue="1" operator="equal">
      <formula>0</formula>
    </cfRule>
  </conditionalFormatting>
  <conditionalFormatting sqref="M33">
    <cfRule type="cellIs" dxfId="147" priority="1285" stopIfTrue="1" operator="equal">
      <formula>0</formula>
    </cfRule>
  </conditionalFormatting>
  <conditionalFormatting sqref="M34:M35">
    <cfRule type="cellIs" dxfId="146" priority="119" stopIfTrue="1" operator="equal">
      <formula>0</formula>
    </cfRule>
  </conditionalFormatting>
  <conditionalFormatting sqref="M35:M37">
    <cfRule type="cellIs" dxfId="145" priority="70" stopIfTrue="1" operator="equal">
      <formula>2</formula>
    </cfRule>
  </conditionalFormatting>
  <conditionalFormatting sqref="M36:M37">
    <cfRule type="cellIs" dxfId="144" priority="69" stopIfTrue="1" operator="equal">
      <formula>3</formula>
    </cfRule>
    <cfRule type="cellIs" dxfId="143" priority="68" stopIfTrue="1" operator="equal">
      <formula>4</formula>
    </cfRule>
    <cfRule type="cellIs" dxfId="142" priority="71" stopIfTrue="1" operator="equal">
      <formula>1</formula>
    </cfRule>
  </conditionalFormatting>
  <conditionalFormatting sqref="M15:N32">
    <cfRule type="cellIs" dxfId="141" priority="45" stopIfTrue="1" operator="equal">
      <formula>2</formula>
    </cfRule>
  </conditionalFormatting>
  <conditionalFormatting sqref="M33:N33">
    <cfRule type="cellIs" dxfId="140" priority="1284" stopIfTrue="1" operator="equal">
      <formula>2</formula>
    </cfRule>
  </conditionalFormatting>
  <conditionalFormatting sqref="M34:N34">
    <cfRule type="cellIs" dxfId="139" priority="118" stopIfTrue="1" operator="equal">
      <formula>2</formula>
    </cfRule>
  </conditionalFormatting>
  <conditionalFormatting sqref="N10:N14">
    <cfRule type="cellIs" dxfId="138" priority="19" stopIfTrue="1" operator="equal">
      <formula>2</formula>
    </cfRule>
    <cfRule type="cellIs" dxfId="137" priority="20" stopIfTrue="1" operator="equal">
      <formula>1</formula>
    </cfRule>
  </conditionalFormatting>
  <conditionalFormatting sqref="N10:N32">
    <cfRule type="cellIs" dxfId="136" priority="17" stopIfTrue="1" operator="equal">
      <formula>4</formula>
    </cfRule>
    <cfRule type="cellIs" dxfId="135" priority="18" stopIfTrue="1" operator="equal">
      <formula>3</formula>
    </cfRule>
  </conditionalFormatting>
  <conditionalFormatting sqref="N15:N32">
    <cfRule type="cellIs" dxfId="134" priority="50" stopIfTrue="1" operator="equal">
      <formula>1</formula>
    </cfRule>
  </conditionalFormatting>
  <conditionalFormatting sqref="N33">
    <cfRule type="cellIs" dxfId="133" priority="1289" stopIfTrue="1" operator="equal">
      <formula>1</formula>
    </cfRule>
  </conditionalFormatting>
  <conditionalFormatting sqref="N33:N36">
    <cfRule type="cellIs" dxfId="132" priority="121" stopIfTrue="1" operator="equal">
      <formula>3</formula>
    </cfRule>
    <cfRule type="cellIs" dxfId="131" priority="120" stopIfTrue="1" operator="equal">
      <formula>4</formula>
    </cfRule>
  </conditionalFormatting>
  <conditionalFormatting sqref="N34:N36">
    <cfRule type="cellIs" dxfId="130" priority="123" stopIfTrue="1" operator="equal">
      <formula>1</formula>
    </cfRule>
  </conditionalFormatting>
  <conditionalFormatting sqref="N35:N37">
    <cfRule type="cellIs" dxfId="129" priority="74" stopIfTrue="1" operator="equal">
      <formula>2</formula>
    </cfRule>
  </conditionalFormatting>
  <conditionalFormatting sqref="N37">
    <cfRule type="cellIs" dxfId="128" priority="72" stopIfTrue="1" operator="equal">
      <formula>4</formula>
    </cfRule>
    <cfRule type="cellIs" dxfId="127" priority="73" stopIfTrue="1" operator="equal">
      <formula>3</formula>
    </cfRule>
    <cfRule type="cellIs" dxfId="126" priority="75" stopIfTrue="1" operator="equal">
      <formula>1</formula>
    </cfRule>
  </conditionalFormatting>
  <conditionalFormatting sqref="O10:O35">
    <cfRule type="cellIs" dxfId="125" priority="2" stopIfTrue="1" operator="between">
      <formula>10</formula>
      <formula>20</formula>
    </cfRule>
    <cfRule type="cellIs" dxfId="124" priority="3" stopIfTrue="1" operator="between">
      <formula>6</formula>
      <formula>8</formula>
    </cfRule>
    <cfRule type="cellIs" dxfId="123" priority="4" stopIfTrue="1" operator="between">
      <formula>2</formula>
      <formula>4</formula>
    </cfRule>
    <cfRule type="cellIs" dxfId="122" priority="1" stopIfTrue="1" operator="between">
      <formula>24</formula>
      <formula>40</formula>
    </cfRule>
  </conditionalFormatting>
  <conditionalFormatting sqref="O36:O37">
    <cfRule type="cellIs" dxfId="121" priority="86" stopIfTrue="1" operator="between">
      <formula>6</formula>
      <formula>8</formula>
    </cfRule>
    <cfRule type="cellIs" dxfId="120" priority="87" stopIfTrue="1" operator="between">
      <formula>2</formula>
      <formula>4</formula>
    </cfRule>
    <cfRule type="cellIs" dxfId="119" priority="84" stopIfTrue="1" operator="between">
      <formula>24</formula>
      <formula>40</formula>
    </cfRule>
    <cfRule type="cellIs" dxfId="118" priority="85" stopIfTrue="1" operator="between">
      <formula>10</formula>
      <formula>20</formula>
    </cfRule>
  </conditionalFormatting>
  <conditionalFormatting sqref="P10:P35">
    <cfRule type="expression" dxfId="117" priority="27" stopIfTrue="1">
      <formula>LEFT(P10,LEN("MEDIO"))="MEDIO"</formula>
    </cfRule>
    <cfRule type="expression" dxfId="116" priority="26" stopIfTrue="1">
      <formula>LEFT(P10,LEN("ALTO"))="ALTO"</formula>
    </cfRule>
    <cfRule type="expression" dxfId="115" priority="25" stopIfTrue="1">
      <formula>LEFT(P10,LEN("MUY ALTO"))="MUY ALTO"</formula>
    </cfRule>
  </conditionalFormatting>
  <conditionalFormatting sqref="Q10:Q35">
    <cfRule type="cellIs" dxfId="114" priority="6" stopIfTrue="1" operator="between">
      <formula>60</formula>
      <formula>99</formula>
    </cfRule>
    <cfRule type="cellIs" dxfId="113" priority="7" stopIfTrue="1" operator="between">
      <formula>25</formula>
      <formula>59</formula>
    </cfRule>
    <cfRule type="cellIs" dxfId="112" priority="8" stopIfTrue="1" operator="between">
      <formula>0</formula>
      <formula>10</formula>
    </cfRule>
    <cfRule type="cellIs" dxfId="111" priority="5" stopIfTrue="1" operator="greaterThanOrEqual">
      <formula>100</formula>
    </cfRule>
  </conditionalFormatting>
  <conditionalFormatting sqref="Q36:Q37">
    <cfRule type="cellIs" dxfId="110" priority="83" stopIfTrue="1" operator="between">
      <formula>0</formula>
      <formula>10</formula>
    </cfRule>
    <cfRule type="cellIs" dxfId="109" priority="82" stopIfTrue="1" operator="between">
      <formula>25</formula>
      <formula>59</formula>
    </cfRule>
    <cfRule type="cellIs" dxfId="108" priority="81" stopIfTrue="1" operator="between">
      <formula>60</formula>
      <formula>99</formula>
    </cfRule>
    <cfRule type="cellIs" dxfId="107" priority="80" stopIfTrue="1" operator="greaterThanOrEqual">
      <formula>100</formula>
    </cfRule>
  </conditionalFormatting>
  <conditionalFormatting sqref="R10:R35">
    <cfRule type="cellIs" dxfId="106" priority="9" stopIfTrue="1" operator="between">
      <formula>600</formula>
      <formula>4000</formula>
    </cfRule>
    <cfRule type="cellIs" dxfId="105" priority="10" stopIfTrue="1" operator="between">
      <formula>150</formula>
      <formula>500</formula>
    </cfRule>
    <cfRule type="cellIs" dxfId="104" priority="11" stopIfTrue="1" operator="between">
      <formula>40</formula>
      <formula>120</formula>
    </cfRule>
    <cfRule type="cellIs" dxfId="103" priority="12" stopIfTrue="1" operator="between">
      <formula>0</formula>
      <formula>20</formula>
    </cfRule>
  </conditionalFormatting>
  <conditionalFormatting sqref="R36:R37">
    <cfRule type="cellIs" dxfId="102" priority="79" stopIfTrue="1" operator="between">
      <formula>0</formula>
      <formula>20</formula>
    </cfRule>
    <cfRule type="cellIs" dxfId="101" priority="77" stopIfTrue="1" operator="between">
      <formula>150</formula>
      <formula>500</formula>
    </cfRule>
    <cfRule type="cellIs" dxfId="100" priority="76" stopIfTrue="1" operator="between">
      <formula>600</formula>
      <formula>4000</formula>
    </cfRule>
    <cfRule type="cellIs" dxfId="99" priority="78" stopIfTrue="1" operator="between">
      <formula>40</formula>
      <formula>120</formula>
    </cfRule>
  </conditionalFormatting>
  <conditionalFormatting sqref="S10:S37">
    <cfRule type="expression" dxfId="98" priority="30" stopIfTrue="1">
      <formula>LEFT(S10,LEN("Mejorar"))="Mejorar"</formula>
    </cfRule>
    <cfRule type="expression" dxfId="97" priority="28" stopIfTrue="1">
      <formula>LEFT(S10,LEN("Situación"))="Situación"</formula>
    </cfRule>
    <cfRule type="expression" dxfId="96" priority="29" stopIfTrue="1">
      <formula>LEFT(S10,LEN("Corregir"))="Corregir"</formula>
    </cfRule>
  </conditionalFormatting>
  <conditionalFormatting sqref="T10:T14">
    <cfRule type="containsText" dxfId="95" priority="22" stopIfTrue="1" operator="containsText" text="NO ACEPTABLE O ACEPTABLE CON CONTROL ESPECÍFICO: Corregir o adoptar medidas de control">
      <formula>NOT(ISERROR(SEARCH(("NO ACEPTABLE O ACEPTABLE CON CONTROL ESPECÍFICO: Corregir o adoptar medidas de control"),(T10))))</formula>
    </cfRule>
    <cfRule type="containsText" dxfId="94" priority="23" stopIfTrue="1" operator="containsText" text="MEJORABLE: Mejorar el control existente">
      <formula>NOT(ISERROR(SEARCH(("MEJORABLE: Mejorar el control existente"),(T10))))</formula>
    </cfRule>
    <cfRule type="containsText" dxfId="93" priority="24" stopIfTrue="1" operator="containsText" text="ACEPTABLE: No intervenir, Salvo que un análisis más preciso lo justifique">
      <formula>NOT(ISERROR(SEARCH(("ACEPTABLE: No intervenir, Salvo que un análisis más preciso lo justifique"),(T10))))</formula>
    </cfRule>
  </conditionalFormatting>
  <conditionalFormatting sqref="T10:T37">
    <cfRule type="containsText" dxfId="92" priority="21" stopIfTrue="1" operator="containsText" text="NO ACEPTABLE: Situación Crítica, corrección urgente">
      <formula>NOT(ISERROR(SEARCH(("NO ACEPTABLE: Situación Crítica, corrección urgente"),(T10))))</formula>
    </cfRule>
  </conditionalFormatting>
  <conditionalFormatting sqref="T15">
    <cfRule type="containsText" dxfId="91" priority="1038" stopIfTrue="1" operator="containsText" text="MEJORABLE: Mejorar el control existente">
      <formula>NOT(ISERROR(SEARCH(("MEJORABLE: Mejorar el control existente"),(T15))))</formula>
    </cfRule>
    <cfRule type="containsText" dxfId="90" priority="1037" stopIfTrue="1" operator="containsText" text="NO ACEPTABLE O ACEPTABLE CON CONTROL ESPECÍFICO: Corregir o adptar medidas de control">
      <formula>NOT(ISERROR(SEARCH(("NO ACEPTABLE O ACEPTABLE CON CONTROL ESPECÍFICO: Corregir o adptar medidas de control"),(T15))))</formula>
    </cfRule>
    <cfRule type="containsText" dxfId="89" priority="1039" stopIfTrue="1" operator="containsText" text="ACEPTABLE: No intervenir, Salvo que un análisis más preciso lo justifique">
      <formula>NOT(ISERROR(SEARCH(("ACEPTABLE: No intervenir, Salvo que un análisis más preciso lo justifique"),(T15))))</formula>
    </cfRule>
  </conditionalFormatting>
  <conditionalFormatting sqref="T16">
    <cfRule type="containsText" dxfId="88" priority="959" stopIfTrue="1" operator="containsText" text="ACEPTABLE: No intervenir, Salvo que un análisis más preciso lo justifique">
      <formula>NOT(ISERROR(SEARCH(("ACEPTABLE: No intervenir, Salvo que un análisis más preciso lo justifique"),(T16))))</formula>
    </cfRule>
    <cfRule type="containsText" dxfId="87" priority="958" stopIfTrue="1" operator="containsText" text="MEJORABLE: Mejorar el control existente">
      <formula>NOT(ISERROR(SEARCH(("MEJORABLE: Mejorar el control existente"),(T16))))</formula>
    </cfRule>
    <cfRule type="containsText" dxfId="86" priority="957" stopIfTrue="1" operator="containsText" text="NO ACEPTABLE O ACEPTABLE CON CONTROL ESPECÍFICO: Corregir o adoptar medidas de control">
      <formula>NOT(ISERROR(SEARCH(("NO ACEPTABLE O ACEPTABLE CON CONTROL ESPECÍFICO: Corregir o adoptar medidas de control"),(T16))))</formula>
    </cfRule>
  </conditionalFormatting>
  <conditionalFormatting sqref="T17">
    <cfRule type="containsText" dxfId="85" priority="1067" stopIfTrue="1" operator="containsText" text="NO ACEPTABLE O ACEPTABLE CON CONTROL ESPECÍFICO: Corregir o adptar medidas de control">
      <formula>NOT(ISERROR(SEARCH(("NO ACEPTABLE O ACEPTABLE CON CONTROL ESPECÍFICO: Corregir o adptar medidas de control"),(T17))))</formula>
    </cfRule>
    <cfRule type="containsText" dxfId="84" priority="1068" stopIfTrue="1" operator="containsText" text="MEJORABLE: Mejorar el control existente">
      <formula>NOT(ISERROR(SEARCH(("MEJORABLE: Mejorar el control existente"),(T17))))</formula>
    </cfRule>
    <cfRule type="containsText" dxfId="83" priority="1069" stopIfTrue="1" operator="containsText" text="ACEPTABLE: No intervenir, Salvo que un análisis más preciso lo justifique">
      <formula>NOT(ISERROR(SEARCH(("ACEPTABLE: No intervenir, Salvo que un análisis más preciso lo justifique"),(T17))))</formula>
    </cfRule>
  </conditionalFormatting>
  <conditionalFormatting sqref="T18">
    <cfRule type="containsText" dxfId="82" priority="963" stopIfTrue="1" operator="containsText" text="ACEPTABLE: No intervenir, Salvo que un análisis más preciso lo justifique">
      <formula>NOT(ISERROR(SEARCH(("ACEPTABLE: No intervenir, Salvo que un análisis más preciso lo justifique"),(T18))))</formula>
    </cfRule>
    <cfRule type="containsText" dxfId="81" priority="962" stopIfTrue="1" operator="containsText" text="MEJORABLE: Mejorar el control existente">
      <formula>NOT(ISERROR(SEARCH(("MEJORABLE: Mejorar el control existente"),(T18))))</formula>
    </cfRule>
    <cfRule type="containsText" dxfId="80" priority="961" stopIfTrue="1" operator="containsText" text="NO ACEPTABLE O ACEPTABLE CON CONTROL ESPECÍFICO: Corregir o adoptar medidas de control">
      <formula>NOT(ISERROR(SEARCH(("NO ACEPTABLE O ACEPTABLE CON CONTROL ESPECÍFICO: Corregir o adoptar medidas de control"),(T18))))</formula>
    </cfRule>
  </conditionalFormatting>
  <conditionalFormatting sqref="T19">
    <cfRule type="containsText" dxfId="79" priority="1099" stopIfTrue="1" operator="containsText" text="ACEPTABLE: No intervenir, Salvo que un análisis más preciso lo justifique">
      <formula>NOT(ISERROR(SEARCH(("ACEPTABLE: No intervenir, Salvo que un análisis más preciso lo justifique"),(T19))))</formula>
    </cfRule>
    <cfRule type="containsText" dxfId="78" priority="1097" stopIfTrue="1" operator="containsText" text="NO ACEPTABLE O ACEPTABLE CON CONTROL ESPECÍFICO: Corregir o adptar medidas de control">
      <formula>NOT(ISERROR(SEARCH(("NO ACEPTABLE O ACEPTABLE CON CONTROL ESPECÍFICO: Corregir o adptar medidas de control"),(T19))))</formula>
    </cfRule>
    <cfRule type="containsText" dxfId="77" priority="1098" stopIfTrue="1" operator="containsText" text="MEJORABLE: Mejorar el control existente">
      <formula>NOT(ISERROR(SEARCH(("MEJORABLE: Mejorar el control existente"),(T19))))</formula>
    </cfRule>
  </conditionalFormatting>
  <conditionalFormatting sqref="T20:T21">
    <cfRule type="containsText" dxfId="76" priority="1373" stopIfTrue="1" operator="containsText" text="NO ACEPTABLE O ACEPTABLE CON CONTROL ESPECÍFICO: Corregir o adoptar medidas de control">
      <formula>NOT(ISERROR(SEARCH(("NO ACEPTABLE O ACEPTABLE CON CONTROL ESPECÍFICO: Corregir o adoptar medidas de control"),(T20))))</formula>
    </cfRule>
    <cfRule type="containsText" dxfId="75" priority="1374" stopIfTrue="1" operator="containsText" text="MEJORABLE: Mejorar el control existente">
      <formula>NOT(ISERROR(SEARCH(("MEJORABLE: Mejorar el control existente"),(T20))))</formula>
    </cfRule>
    <cfRule type="containsText" dxfId="74" priority="1375" stopIfTrue="1" operator="containsText" text="ACEPTABLE: No intervenir, Salvo que un análisis más preciso lo justifique">
      <formula>NOT(ISERROR(SEARCH(("ACEPTABLE: No intervenir, Salvo que un análisis más preciso lo justifique"),(T20))))</formula>
    </cfRule>
  </conditionalFormatting>
  <conditionalFormatting sqref="T22">
    <cfRule type="containsText" dxfId="73" priority="1157" stopIfTrue="1" operator="containsText" text="NO ACEPTABLE O ACEPTABLE CON CONTROL ESPECÍFICO: Corregir o adptar medidas de control">
      <formula>NOT(ISERROR(SEARCH(("NO ACEPTABLE O ACEPTABLE CON CONTROL ESPECÍFICO: Corregir o adptar medidas de control"),(T22))))</formula>
    </cfRule>
    <cfRule type="containsText" dxfId="72" priority="1158" stopIfTrue="1" operator="containsText" text="MEJORABLE: Mejorar el control existente">
      <formula>NOT(ISERROR(SEARCH(("MEJORABLE: Mejorar el control existente"),(T22))))</formula>
    </cfRule>
    <cfRule type="containsText" dxfId="71" priority="1159" stopIfTrue="1" operator="containsText" text="ACEPTABLE: No intervenir, Salvo que un análisis más preciso lo justifique">
      <formula>NOT(ISERROR(SEARCH(("ACEPTABLE: No intervenir, Salvo que un análisis más preciso lo justifique"),(T22))))</formula>
    </cfRule>
  </conditionalFormatting>
  <conditionalFormatting sqref="T23">
    <cfRule type="containsText" dxfId="70" priority="187" stopIfTrue="1" operator="containsText" text="ACEPTABLE: No intervenir, Salvo que un análisis más preciso lo justifique">
      <formula>NOT(ISERROR(SEARCH(("ACEPTABLE: No intervenir, Salvo que un análisis más preciso lo justifique"),(T23))))</formula>
    </cfRule>
    <cfRule type="containsText" dxfId="69" priority="186" stopIfTrue="1" operator="containsText" text="MEJORABLE: Mejorar el control existente">
      <formula>NOT(ISERROR(SEARCH(("MEJORABLE: Mejorar el control existente"),(T23))))</formula>
    </cfRule>
    <cfRule type="containsText" dxfId="68" priority="185" stopIfTrue="1" operator="containsText" text="NO ACEPTABLE O ACEPTABLE CON CONTROL ESPECÍFICO: Corregir o adoptar medidas de control">
      <formula>NOT(ISERROR(SEARCH(("NO ACEPTABLE O ACEPTABLE CON CONTROL ESPECÍFICO: Corregir o adoptar medidas de control"),(T23))))</formula>
    </cfRule>
  </conditionalFormatting>
  <conditionalFormatting sqref="T24:T25">
    <cfRule type="containsText" dxfId="67" priority="176" stopIfTrue="1" operator="containsText" text="MEJORABLE: Mejorar el control existente">
      <formula>NOT(ISERROR(SEARCH(("MEJORABLE: Mejorar el control existente"),(T24))))</formula>
    </cfRule>
    <cfRule type="containsText" dxfId="66" priority="175" stopIfTrue="1" operator="containsText" text="NO ACEPTABLE O ACEPTABLE CON CONTROL ESPECÍFICO: Corregir o adptar medidas de control">
      <formula>NOT(ISERROR(SEARCH(("NO ACEPTABLE O ACEPTABLE CON CONTROL ESPECÍFICO: Corregir o adptar medidas de control"),(T24))))</formula>
    </cfRule>
    <cfRule type="containsText" dxfId="65" priority="177" stopIfTrue="1" operator="containsText" text="ACEPTABLE: No intervenir, Salvo que un análisis más preciso lo justifique">
      <formula>NOT(ISERROR(SEARCH(("ACEPTABLE: No intervenir, Salvo que un análisis más preciso lo justifique"),(T24))))</formula>
    </cfRule>
  </conditionalFormatting>
  <conditionalFormatting sqref="T26:T27">
    <cfRule type="containsText" dxfId="64" priority="1365" stopIfTrue="1" operator="containsText" text="NO ACEPTABLE O ACEPTABLE CON CONTROL ESPECÍFICO: Corregir o adoptar medidas de control">
      <formula>NOT(ISERROR(SEARCH(("NO ACEPTABLE O ACEPTABLE CON CONTROL ESPECÍFICO: Corregir o adoptar medidas de control"),(T26))))</formula>
    </cfRule>
    <cfRule type="containsText" dxfId="63" priority="1366" stopIfTrue="1" operator="containsText" text="MEJORABLE: Mejorar el control existente">
      <formula>NOT(ISERROR(SEARCH(("MEJORABLE: Mejorar el control existente"),(T26))))</formula>
    </cfRule>
    <cfRule type="containsText" dxfId="62" priority="1367" stopIfTrue="1" operator="containsText" text="ACEPTABLE: No intervenir, Salvo que un análisis más preciso lo justifique">
      <formula>NOT(ISERROR(SEARCH(("ACEPTABLE: No intervenir, Salvo que un análisis más preciso lo justifique"),(T26))))</formula>
    </cfRule>
  </conditionalFormatting>
  <conditionalFormatting sqref="T28:T29">
    <cfRule type="containsText" dxfId="61" priority="291" stopIfTrue="1" operator="containsText" text="NO ACEPTABLE O ACEPTABLE CON CONTROL ESPECÍFICO: Corregir o adptar medidas de control">
      <formula>NOT(ISERROR(SEARCH(("NO ACEPTABLE O ACEPTABLE CON CONTROL ESPECÍFICO: Corregir o adptar medidas de control"),(T28))))</formula>
    </cfRule>
  </conditionalFormatting>
  <conditionalFormatting sqref="T28:T31">
    <cfRule type="containsText" dxfId="60" priority="293" stopIfTrue="1" operator="containsText" text="ACEPTABLE: No intervenir, Salvo que un análisis más preciso lo justifique">
      <formula>NOT(ISERROR(SEARCH(("ACEPTABLE: No intervenir, Salvo que un análisis más preciso lo justifique"),(T28))))</formula>
    </cfRule>
    <cfRule type="containsText" dxfId="59" priority="292" stopIfTrue="1" operator="containsText" text="MEJORABLE: Mejorar el control existente">
      <formula>NOT(ISERROR(SEARCH(("MEJORABLE: Mejorar el control existente"),(T28))))</formula>
    </cfRule>
  </conditionalFormatting>
  <conditionalFormatting sqref="T30:T37">
    <cfRule type="containsText" dxfId="58" priority="58" stopIfTrue="1" operator="containsText" text="NO ACEPTABLE O ACEPTABLE CON CONTROL ESPECÍFICO: Corregir o adoptar medidas de control">
      <formula>NOT(ISERROR(SEARCH(("NO ACEPTABLE O ACEPTABLE CON CONTROL ESPECÍFICO: Corregir o adoptar medidas de control"),(T30))))</formula>
    </cfRule>
  </conditionalFormatting>
  <conditionalFormatting sqref="T32:T37">
    <cfRule type="containsText" dxfId="57" priority="59" stopIfTrue="1" operator="containsText" text="MEJORABLE: Mejorar el control existente">
      <formula>NOT(ISERROR(SEARCH(("MEJORABLE: Mejorar el control existente"),(T32))))</formula>
    </cfRule>
    <cfRule type="containsText" dxfId="56" priority="60" stopIfTrue="1" operator="containsText" text="ACEPTABLE: No intervenir, Salvo que un análisis más preciso lo justifique">
      <formula>NOT(ISERROR(SEARCH(("ACEPTABLE: No intervenir, Salvo que un análisis más preciso lo justifique"),(T32))))</formula>
    </cfRule>
  </conditionalFormatting>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9" tint="-0.249977111117893"/>
  </sheetPr>
  <dimension ref="A1:AK23"/>
  <sheetViews>
    <sheetView zoomScale="73" zoomScaleNormal="73" workbookViewId="0">
      <selection sqref="A1:AK23"/>
    </sheetView>
  </sheetViews>
  <sheetFormatPr baseColWidth="10" defaultRowHeight="14.25" x14ac:dyDescent="0.2"/>
  <cols>
    <col min="1" max="1" width="13" style="67" customWidth="1"/>
    <col min="2" max="2" width="11.42578125" style="67"/>
    <col min="3" max="3" width="9.140625" style="68" customWidth="1"/>
    <col min="4" max="4" width="13.42578125" style="68" customWidth="1"/>
    <col min="5" max="5" width="11.42578125" style="68"/>
    <col min="6" max="6" width="14.28515625" style="67" customWidth="1"/>
    <col min="7" max="7" width="19.85546875" style="68" customWidth="1"/>
    <col min="8" max="8" width="39.140625" style="68" customWidth="1"/>
    <col min="9" max="9" width="24.85546875" style="68" customWidth="1"/>
    <col min="10" max="10" width="13.85546875" style="68" customWidth="1"/>
    <col min="11" max="11" width="15.5703125" style="68" customWidth="1"/>
    <col min="12" max="12" width="18.140625" style="68" customWidth="1"/>
    <col min="13" max="13" width="3.140625" style="68" bestFit="1" customWidth="1"/>
    <col min="14" max="14" width="4.7109375" style="68" customWidth="1"/>
    <col min="15" max="15" width="4.140625" style="68" bestFit="1" customWidth="1"/>
    <col min="16" max="16" width="27.7109375" style="68" customWidth="1"/>
    <col min="17" max="17" width="4.85546875" style="68" bestFit="1" customWidth="1"/>
    <col min="18" max="18" width="6.7109375" style="68" customWidth="1"/>
    <col min="19" max="19" width="28.7109375" style="68" customWidth="1"/>
    <col min="20" max="20" width="14.140625" style="68" customWidth="1"/>
    <col min="21" max="21" width="9.7109375" style="68" customWidth="1"/>
    <col min="22" max="22" width="17.28515625" style="68" customWidth="1"/>
    <col min="23" max="23" width="19.5703125" style="68" customWidth="1"/>
    <col min="24" max="24" width="13.5703125" style="68" bestFit="1" customWidth="1"/>
    <col min="25" max="25" width="14.42578125" style="68" bestFit="1" customWidth="1"/>
    <col min="26" max="26" width="30.28515625" style="68" customWidth="1"/>
    <col min="27" max="27" width="27" style="68" customWidth="1"/>
    <col min="28" max="28" width="19.42578125" style="68" customWidth="1"/>
    <col min="29" max="29" width="23.7109375" style="68" customWidth="1"/>
    <col min="30" max="16384" width="11.42578125" style="68"/>
  </cols>
  <sheetData>
    <row r="1" spans="1:37" s="67" customFormat="1" ht="24.75" customHeight="1" thickTop="1" thickBot="1" x14ac:dyDescent="0.25">
      <c r="A1" s="236"/>
      <c r="B1" s="236"/>
      <c r="C1" s="228" t="str">
        <f>+ADMINISTRACIÓN!C1</f>
        <v>CONJUNTO RESIDENCIAL ABEDUL - PH</v>
      </c>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t="s">
        <v>585</v>
      </c>
      <c r="AD1" s="66"/>
      <c r="AE1" s="66"/>
      <c r="AF1" s="66"/>
      <c r="AG1" s="66"/>
      <c r="AH1" s="66"/>
      <c r="AI1" s="66"/>
      <c r="AJ1" s="66"/>
    </row>
    <row r="2" spans="1:37" s="67" customFormat="1" ht="21" customHeight="1" thickTop="1" thickBot="1" x14ac:dyDescent="0.25">
      <c r="A2" s="236"/>
      <c r="B2" s="236"/>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66"/>
      <c r="AE2" s="66"/>
      <c r="AF2" s="66"/>
      <c r="AG2" s="66"/>
      <c r="AH2" s="66"/>
      <c r="AI2" s="66"/>
      <c r="AJ2" s="66"/>
    </row>
    <row r="3" spans="1:37" s="67" customFormat="1" ht="24.75" customHeight="1" thickTop="1" thickBot="1" x14ac:dyDescent="0.25">
      <c r="A3" s="236"/>
      <c r="B3" s="236"/>
      <c r="C3" s="234" t="s">
        <v>268</v>
      </c>
      <c r="D3" s="234"/>
      <c r="E3" s="234"/>
      <c r="F3" s="234"/>
      <c r="G3" s="234"/>
      <c r="H3" s="234"/>
      <c r="I3" s="234"/>
      <c r="J3" s="234"/>
      <c r="K3" s="234"/>
      <c r="L3" s="234"/>
      <c r="M3" s="234"/>
      <c r="N3" s="234"/>
      <c r="O3" s="234"/>
      <c r="P3" s="234"/>
      <c r="Q3" s="234"/>
      <c r="R3" s="234"/>
      <c r="S3" s="234"/>
      <c r="T3" s="234"/>
      <c r="U3" s="234"/>
      <c r="V3" s="234"/>
      <c r="W3" s="234"/>
      <c r="X3" s="234"/>
      <c r="Y3" s="234"/>
      <c r="Z3" s="234"/>
      <c r="AA3" s="234"/>
      <c r="AB3" s="234"/>
      <c r="AC3" s="235" t="s">
        <v>586</v>
      </c>
      <c r="AD3" s="66"/>
      <c r="AE3" s="66"/>
      <c r="AF3" s="66"/>
      <c r="AG3" s="66"/>
      <c r="AH3" s="66"/>
      <c r="AI3" s="66"/>
      <c r="AJ3" s="66"/>
    </row>
    <row r="4" spans="1:37" s="67" customFormat="1" ht="21.75" customHeight="1" thickTop="1" thickBot="1" x14ac:dyDescent="0.25">
      <c r="A4" s="236"/>
      <c r="B4" s="236"/>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28"/>
      <c r="AD4" s="66"/>
      <c r="AE4" s="66"/>
      <c r="AF4" s="66"/>
      <c r="AG4" s="66"/>
      <c r="AH4" s="66"/>
      <c r="AI4" s="66"/>
      <c r="AJ4" s="66"/>
    </row>
    <row r="5" spans="1:37" s="67" customFormat="1" ht="23.25" customHeight="1" thickTop="1" x14ac:dyDescent="0.2">
      <c r="A5" s="237" t="s">
        <v>588</v>
      </c>
      <c r="B5" s="238"/>
      <c r="C5" s="238"/>
      <c r="D5" s="238"/>
      <c r="E5" s="238"/>
      <c r="F5" s="238"/>
      <c r="G5" s="238"/>
      <c r="H5" s="238"/>
      <c r="I5" s="238"/>
      <c r="J5" s="238"/>
      <c r="K5" s="238"/>
      <c r="L5" s="238"/>
      <c r="M5" s="238"/>
      <c r="N5" s="238"/>
      <c r="O5" s="238"/>
      <c r="P5" s="238"/>
      <c r="Q5" s="238"/>
      <c r="R5" s="238"/>
      <c r="S5" s="238"/>
      <c r="T5" s="238"/>
      <c r="U5" s="238"/>
      <c r="V5" s="238"/>
      <c r="W5" s="238"/>
      <c r="X5" s="238"/>
      <c r="Y5" s="238"/>
      <c r="Z5" s="238"/>
      <c r="AA5" s="238"/>
      <c r="AB5" s="238"/>
      <c r="AC5" s="238"/>
      <c r="AD5" s="66"/>
      <c r="AE5" s="66"/>
      <c r="AF5" s="66"/>
      <c r="AG5" s="66"/>
      <c r="AH5" s="66"/>
      <c r="AI5" s="66"/>
      <c r="AJ5" s="66"/>
    </row>
    <row r="6" spans="1:37" s="67" customFormat="1" ht="25.5" customHeight="1" x14ac:dyDescent="0.2">
      <c r="A6" s="249" t="s">
        <v>278</v>
      </c>
      <c r="B6" s="250"/>
      <c r="C6" s="250"/>
      <c r="D6" s="250"/>
      <c r="E6" s="251"/>
      <c r="F6" s="239" t="s">
        <v>487</v>
      </c>
      <c r="G6" s="240"/>
      <c r="H6" s="240"/>
      <c r="I6" s="240"/>
      <c r="J6" s="240"/>
      <c r="K6" s="240"/>
      <c r="L6" s="240"/>
      <c r="M6" s="240"/>
      <c r="N6" s="240"/>
      <c r="O6" s="240"/>
      <c r="P6" s="240"/>
      <c r="Q6" s="240"/>
      <c r="R6" s="240"/>
      <c r="S6" s="240"/>
      <c r="T6" s="240"/>
      <c r="U6" s="240"/>
      <c r="V6" s="240"/>
      <c r="W6" s="240"/>
      <c r="X6" s="240"/>
      <c r="Y6" s="240"/>
      <c r="Z6" s="240"/>
      <c r="AA6" s="240"/>
      <c r="AB6" s="240"/>
      <c r="AC6" s="241"/>
      <c r="AD6" s="66"/>
      <c r="AE6" s="66"/>
      <c r="AF6" s="66"/>
      <c r="AG6" s="66"/>
      <c r="AH6" s="66"/>
      <c r="AI6" s="66"/>
      <c r="AJ6" s="66"/>
    </row>
    <row r="7" spans="1:37" s="99" customFormat="1" ht="15.75" customHeight="1" x14ac:dyDescent="0.2">
      <c r="A7" s="165"/>
      <c r="B7" s="166"/>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7"/>
      <c r="AD7" s="119"/>
      <c r="AE7" s="119"/>
      <c r="AF7" s="119"/>
      <c r="AG7" s="119"/>
      <c r="AH7" s="119"/>
      <c r="AI7" s="119"/>
      <c r="AJ7" s="119"/>
      <c r="AK7" s="119"/>
    </row>
    <row r="8" spans="1:37" s="121" customFormat="1" ht="29.25" customHeight="1" x14ac:dyDescent="0.2">
      <c r="A8" s="247" t="s">
        <v>0</v>
      </c>
      <c r="B8" s="229" t="s">
        <v>109</v>
      </c>
      <c r="C8" s="229" t="s">
        <v>1</v>
      </c>
      <c r="D8" s="229" t="s">
        <v>2</v>
      </c>
      <c r="E8" s="229" t="s">
        <v>3</v>
      </c>
      <c r="F8" s="229" t="s">
        <v>4</v>
      </c>
      <c r="G8" s="231" t="s">
        <v>5</v>
      </c>
      <c r="H8" s="233"/>
      <c r="I8" s="229" t="s">
        <v>6</v>
      </c>
      <c r="J8" s="231" t="s">
        <v>7</v>
      </c>
      <c r="K8" s="232"/>
      <c r="L8" s="233"/>
      <c r="M8" s="225" t="s">
        <v>8</v>
      </c>
      <c r="N8" s="226"/>
      <c r="O8" s="226"/>
      <c r="P8" s="226"/>
      <c r="Q8" s="226"/>
      <c r="R8" s="226"/>
      <c r="S8" s="227"/>
      <c r="T8" s="120" t="s">
        <v>9</v>
      </c>
      <c r="U8" s="231" t="s">
        <v>10</v>
      </c>
      <c r="V8" s="232"/>
      <c r="W8" s="233"/>
      <c r="X8" s="225" t="s">
        <v>11</v>
      </c>
      <c r="Y8" s="226"/>
      <c r="Z8" s="226"/>
      <c r="AA8" s="226"/>
      <c r="AB8" s="226"/>
      <c r="AC8" s="227"/>
    </row>
    <row r="9" spans="1:37" s="121" customFormat="1" ht="57.75" customHeight="1" x14ac:dyDescent="0.2">
      <c r="A9" s="248"/>
      <c r="B9" s="230"/>
      <c r="C9" s="230"/>
      <c r="D9" s="230"/>
      <c r="E9" s="230"/>
      <c r="F9" s="230"/>
      <c r="G9" s="120" t="s">
        <v>12</v>
      </c>
      <c r="H9" s="120" t="s">
        <v>13</v>
      </c>
      <c r="I9" s="230"/>
      <c r="J9" s="120" t="s">
        <v>14</v>
      </c>
      <c r="K9" s="120" t="s">
        <v>15</v>
      </c>
      <c r="L9" s="120" t="s">
        <v>16</v>
      </c>
      <c r="M9" s="122" t="s">
        <v>17</v>
      </c>
      <c r="N9" s="123" t="s">
        <v>18</v>
      </c>
      <c r="O9" s="122" t="s">
        <v>19</v>
      </c>
      <c r="P9" s="124" t="s">
        <v>20</v>
      </c>
      <c r="Q9" s="124" t="s">
        <v>21</v>
      </c>
      <c r="R9" s="122" t="s">
        <v>22</v>
      </c>
      <c r="S9" s="125" t="s">
        <v>20</v>
      </c>
      <c r="T9" s="125" t="s">
        <v>23</v>
      </c>
      <c r="U9" s="126" t="s">
        <v>24</v>
      </c>
      <c r="V9" s="126" t="s">
        <v>25</v>
      </c>
      <c r="W9" s="127" t="s">
        <v>26</v>
      </c>
      <c r="X9" s="122" t="s">
        <v>27</v>
      </c>
      <c r="Y9" s="122" t="s">
        <v>28</v>
      </c>
      <c r="Z9" s="120" t="s">
        <v>29</v>
      </c>
      <c r="AA9" s="120" t="s">
        <v>30</v>
      </c>
      <c r="AB9" s="120" t="s">
        <v>31</v>
      </c>
      <c r="AC9" s="122" t="s">
        <v>32</v>
      </c>
    </row>
    <row r="10" spans="1:37" s="115" customFormat="1" ht="78.75" customHeight="1" x14ac:dyDescent="0.2">
      <c r="A10" s="245" t="s">
        <v>557</v>
      </c>
      <c r="B10" s="242" t="s">
        <v>408</v>
      </c>
      <c r="C10" s="128" t="s">
        <v>556</v>
      </c>
      <c r="D10" s="91" t="s">
        <v>52</v>
      </c>
      <c r="E10" s="91" t="s">
        <v>110</v>
      </c>
      <c r="F10" s="90" t="s">
        <v>33</v>
      </c>
      <c r="G10" s="89" t="s">
        <v>53</v>
      </c>
      <c r="H10" s="91" t="s">
        <v>50</v>
      </c>
      <c r="I10" s="89" t="s">
        <v>66</v>
      </c>
      <c r="J10" s="116" t="s">
        <v>152</v>
      </c>
      <c r="K10" s="89" t="s">
        <v>41</v>
      </c>
      <c r="L10" s="89" t="s">
        <v>111</v>
      </c>
      <c r="M10" s="140">
        <v>0</v>
      </c>
      <c r="N10" s="42">
        <v>2</v>
      </c>
      <c r="O10" s="44">
        <f t="shared" ref="O10:O23" si="0">M10*N10</f>
        <v>0</v>
      </c>
      <c r="P10" s="44" t="s">
        <v>39</v>
      </c>
      <c r="Q10" s="42">
        <v>10</v>
      </c>
      <c r="R10" s="44">
        <f t="shared" ref="R10:R23" si="1">O10*Q10</f>
        <v>0</v>
      </c>
      <c r="S10" s="44" t="s">
        <v>100</v>
      </c>
      <c r="T10" s="43" t="s">
        <v>72</v>
      </c>
      <c r="U10" s="94">
        <v>4</v>
      </c>
      <c r="V10" s="116" t="s">
        <v>66</v>
      </c>
      <c r="W10" s="116" t="s">
        <v>33</v>
      </c>
      <c r="X10" s="89" t="s">
        <v>37</v>
      </c>
      <c r="Y10" s="89" t="s">
        <v>37</v>
      </c>
      <c r="Z10" s="117" t="s">
        <v>67</v>
      </c>
      <c r="AA10" s="117" t="s">
        <v>63</v>
      </c>
      <c r="AB10" s="95" t="s">
        <v>54</v>
      </c>
      <c r="AC10" s="116" t="s">
        <v>54</v>
      </c>
    </row>
    <row r="11" spans="1:37" ht="99.75" customHeight="1" x14ac:dyDescent="0.2">
      <c r="A11" s="246"/>
      <c r="B11" s="243"/>
      <c r="C11" s="128" t="s">
        <v>556</v>
      </c>
      <c r="D11" s="91" t="s">
        <v>112</v>
      </c>
      <c r="E11" s="91" t="s">
        <v>55</v>
      </c>
      <c r="F11" s="90" t="s">
        <v>33</v>
      </c>
      <c r="G11" s="89" t="s">
        <v>554</v>
      </c>
      <c r="H11" s="91" t="s">
        <v>48</v>
      </c>
      <c r="I11" s="89" t="s">
        <v>57</v>
      </c>
      <c r="J11" s="116" t="s">
        <v>68</v>
      </c>
      <c r="K11" s="89" t="s">
        <v>41</v>
      </c>
      <c r="L11" s="89" t="s">
        <v>58</v>
      </c>
      <c r="M11" s="140">
        <v>2</v>
      </c>
      <c r="N11" s="42">
        <v>4</v>
      </c>
      <c r="O11" s="44">
        <f t="shared" si="0"/>
        <v>8</v>
      </c>
      <c r="P11" s="44" t="s">
        <v>34</v>
      </c>
      <c r="Q11" s="42">
        <v>25</v>
      </c>
      <c r="R11" s="44">
        <f t="shared" si="1"/>
        <v>200</v>
      </c>
      <c r="S11" s="44" t="s">
        <v>45</v>
      </c>
      <c r="T11" s="43" t="s">
        <v>47</v>
      </c>
      <c r="U11" s="94">
        <v>4</v>
      </c>
      <c r="V11" s="116" t="s">
        <v>113</v>
      </c>
      <c r="W11" s="116" t="s">
        <v>33</v>
      </c>
      <c r="X11" s="89" t="s">
        <v>37</v>
      </c>
      <c r="Y11" s="89" t="s">
        <v>37</v>
      </c>
      <c r="Z11" s="117" t="s">
        <v>114</v>
      </c>
      <c r="AA11" s="117" t="s">
        <v>64</v>
      </c>
      <c r="AB11" s="95" t="s">
        <v>54</v>
      </c>
      <c r="AC11" s="116" t="s">
        <v>54</v>
      </c>
    </row>
    <row r="12" spans="1:37" s="115" customFormat="1" ht="78.75" customHeight="1" x14ac:dyDescent="0.2">
      <c r="A12" s="246"/>
      <c r="B12" s="243"/>
      <c r="C12" s="128" t="s">
        <v>556</v>
      </c>
      <c r="D12" s="91" t="s">
        <v>52</v>
      </c>
      <c r="E12" s="91" t="s">
        <v>55</v>
      </c>
      <c r="F12" s="90" t="s">
        <v>33</v>
      </c>
      <c r="G12" s="89" t="s">
        <v>60</v>
      </c>
      <c r="H12" s="91" t="s">
        <v>51</v>
      </c>
      <c r="I12" s="89" t="s">
        <v>38</v>
      </c>
      <c r="J12" s="116" t="s">
        <v>61</v>
      </c>
      <c r="K12" s="89" t="s">
        <v>41</v>
      </c>
      <c r="L12" s="89" t="s">
        <v>44</v>
      </c>
      <c r="M12" s="140">
        <v>0</v>
      </c>
      <c r="N12" s="42">
        <v>2</v>
      </c>
      <c r="O12" s="44">
        <f t="shared" si="0"/>
        <v>0</v>
      </c>
      <c r="P12" s="44" t="s">
        <v>39</v>
      </c>
      <c r="Q12" s="42">
        <v>60</v>
      </c>
      <c r="R12" s="44">
        <f t="shared" si="1"/>
        <v>0</v>
      </c>
      <c r="S12" s="44" t="s">
        <v>100</v>
      </c>
      <c r="T12" s="43" t="s">
        <v>72</v>
      </c>
      <c r="U12" s="94">
        <v>4</v>
      </c>
      <c r="V12" s="116" t="s">
        <v>38</v>
      </c>
      <c r="W12" s="116" t="s">
        <v>33</v>
      </c>
      <c r="X12" s="89" t="s">
        <v>37</v>
      </c>
      <c r="Y12" s="89" t="s">
        <v>37</v>
      </c>
      <c r="Z12" s="117" t="s">
        <v>61</v>
      </c>
      <c r="AA12" s="117" t="s">
        <v>269</v>
      </c>
      <c r="AB12" s="95" t="s">
        <v>54</v>
      </c>
      <c r="AC12" s="116" t="s">
        <v>62</v>
      </c>
    </row>
    <row r="13" spans="1:37" ht="87" customHeight="1" x14ac:dyDescent="0.2">
      <c r="A13" s="246"/>
      <c r="B13" s="243"/>
      <c r="C13" s="128" t="s">
        <v>556</v>
      </c>
      <c r="D13" s="91" t="s">
        <v>225</v>
      </c>
      <c r="E13" s="91" t="s">
        <v>59</v>
      </c>
      <c r="F13" s="90" t="s">
        <v>33</v>
      </c>
      <c r="G13" s="89" t="s">
        <v>115</v>
      </c>
      <c r="H13" s="91" t="s">
        <v>73</v>
      </c>
      <c r="I13" s="89" t="s">
        <v>117</v>
      </c>
      <c r="J13" s="118" t="s">
        <v>71</v>
      </c>
      <c r="K13" s="89" t="s">
        <v>71</v>
      </c>
      <c r="L13" s="89" t="s">
        <v>156</v>
      </c>
      <c r="M13" s="140">
        <v>2</v>
      </c>
      <c r="N13" s="42">
        <v>3</v>
      </c>
      <c r="O13" s="44">
        <f t="shared" ref="O13:O18" si="2">M13*N13</f>
        <v>6</v>
      </c>
      <c r="P13" s="44" t="s">
        <v>34</v>
      </c>
      <c r="Q13" s="42">
        <v>25</v>
      </c>
      <c r="R13" s="44">
        <f t="shared" ref="R13:R18" si="3">O13*Q13</f>
        <v>150</v>
      </c>
      <c r="S13" s="44" t="s">
        <v>45</v>
      </c>
      <c r="T13" s="43" t="s">
        <v>47</v>
      </c>
      <c r="U13" s="94">
        <v>4</v>
      </c>
      <c r="V13" s="89" t="s">
        <v>118</v>
      </c>
      <c r="W13" s="116" t="s">
        <v>33</v>
      </c>
      <c r="X13" s="89" t="s">
        <v>37</v>
      </c>
      <c r="Y13" s="89" t="s">
        <v>37</v>
      </c>
      <c r="Z13" s="117" t="s">
        <v>37</v>
      </c>
      <c r="AA13" s="89" t="s">
        <v>157</v>
      </c>
      <c r="AB13" s="95" t="s">
        <v>54</v>
      </c>
      <c r="AC13" s="116" t="s">
        <v>54</v>
      </c>
    </row>
    <row r="14" spans="1:37" ht="87" customHeight="1" x14ac:dyDescent="0.2">
      <c r="A14" s="246"/>
      <c r="B14" s="243"/>
      <c r="C14" s="128" t="s">
        <v>556</v>
      </c>
      <c r="D14" s="91" t="s">
        <v>226</v>
      </c>
      <c r="E14" s="91" t="s">
        <v>226</v>
      </c>
      <c r="F14" s="90" t="s">
        <v>33</v>
      </c>
      <c r="G14" s="89" t="s">
        <v>259</v>
      </c>
      <c r="H14" s="91" t="s">
        <v>260</v>
      </c>
      <c r="I14" s="89" t="s">
        <v>228</v>
      </c>
      <c r="J14" s="118" t="s">
        <v>71</v>
      </c>
      <c r="K14" s="89" t="s">
        <v>71</v>
      </c>
      <c r="L14" s="89" t="s">
        <v>261</v>
      </c>
      <c r="M14" s="140">
        <v>2</v>
      </c>
      <c r="N14" s="42">
        <v>3</v>
      </c>
      <c r="O14" s="44">
        <f t="shared" si="2"/>
        <v>6</v>
      </c>
      <c r="P14" s="44" t="s">
        <v>34</v>
      </c>
      <c r="Q14" s="42">
        <v>25</v>
      </c>
      <c r="R14" s="44">
        <f t="shared" si="3"/>
        <v>150</v>
      </c>
      <c r="S14" s="44" t="s">
        <v>45</v>
      </c>
      <c r="T14" s="43" t="s">
        <v>47</v>
      </c>
      <c r="U14" s="94">
        <v>4</v>
      </c>
      <c r="V14" s="89" t="s">
        <v>118</v>
      </c>
      <c r="W14" s="116" t="s">
        <v>33</v>
      </c>
      <c r="X14" s="89" t="s">
        <v>37</v>
      </c>
      <c r="Y14" s="89" t="s">
        <v>37</v>
      </c>
      <c r="Z14" s="117" t="s">
        <v>262</v>
      </c>
      <c r="AA14" s="89" t="s">
        <v>477</v>
      </c>
      <c r="AB14" s="95" t="s">
        <v>54</v>
      </c>
      <c r="AC14" s="116" t="s">
        <v>54</v>
      </c>
    </row>
    <row r="15" spans="1:37" ht="87" customHeight="1" x14ac:dyDescent="0.2">
      <c r="A15" s="246"/>
      <c r="B15" s="243"/>
      <c r="C15" s="128" t="s">
        <v>556</v>
      </c>
      <c r="D15" s="7" t="s">
        <v>162</v>
      </c>
      <c r="E15" s="7" t="s">
        <v>125</v>
      </c>
      <c r="F15" s="6" t="s">
        <v>33</v>
      </c>
      <c r="G15" s="6" t="s">
        <v>163</v>
      </c>
      <c r="H15" s="15" t="s">
        <v>126</v>
      </c>
      <c r="I15" s="6" t="s">
        <v>164</v>
      </c>
      <c r="J15" s="8" t="s">
        <v>71</v>
      </c>
      <c r="K15" s="8" t="s">
        <v>127</v>
      </c>
      <c r="L15" s="8" t="s">
        <v>71</v>
      </c>
      <c r="M15" s="140">
        <v>2</v>
      </c>
      <c r="N15" s="42">
        <v>2</v>
      </c>
      <c r="O15" s="44">
        <f t="shared" si="2"/>
        <v>4</v>
      </c>
      <c r="P15" s="44" t="s">
        <v>39</v>
      </c>
      <c r="Q15" s="42">
        <v>10</v>
      </c>
      <c r="R15" s="44">
        <f t="shared" si="3"/>
        <v>40</v>
      </c>
      <c r="S15" s="44" t="s">
        <v>42</v>
      </c>
      <c r="T15" s="43" t="s">
        <v>43</v>
      </c>
      <c r="U15" s="11">
        <v>1</v>
      </c>
      <c r="V15" s="11"/>
      <c r="W15" s="8" t="s">
        <v>164</v>
      </c>
      <c r="X15" s="8" t="s">
        <v>33</v>
      </c>
      <c r="Y15" s="8" t="s">
        <v>37</v>
      </c>
      <c r="Z15" s="8" t="s">
        <v>37</v>
      </c>
      <c r="AA15" s="8" t="s">
        <v>37</v>
      </c>
      <c r="AB15" s="8" t="s">
        <v>128</v>
      </c>
      <c r="AC15" s="17" t="s">
        <v>54</v>
      </c>
      <c r="AD15" s="17" t="s">
        <v>54</v>
      </c>
      <c r="AE15" s="46"/>
    </row>
    <row r="16" spans="1:37" ht="114" x14ac:dyDescent="0.2">
      <c r="A16" s="246"/>
      <c r="B16" s="243"/>
      <c r="C16" s="128" t="s">
        <v>556</v>
      </c>
      <c r="D16" s="91" t="s">
        <v>112</v>
      </c>
      <c r="E16" s="91" t="s">
        <v>55</v>
      </c>
      <c r="F16" s="90" t="s">
        <v>33</v>
      </c>
      <c r="G16" s="90" t="s">
        <v>554</v>
      </c>
      <c r="H16" s="97" t="s">
        <v>405</v>
      </c>
      <c r="I16" s="90" t="s">
        <v>57</v>
      </c>
      <c r="J16" s="89" t="s">
        <v>71</v>
      </c>
      <c r="K16" s="89" t="s">
        <v>41</v>
      </c>
      <c r="L16" s="89" t="s">
        <v>58</v>
      </c>
      <c r="M16" s="140">
        <v>2</v>
      </c>
      <c r="N16" s="42">
        <v>4</v>
      </c>
      <c r="O16" s="44">
        <f t="shared" si="2"/>
        <v>8</v>
      </c>
      <c r="P16" s="44" t="s">
        <v>34</v>
      </c>
      <c r="Q16" s="42">
        <v>25</v>
      </c>
      <c r="R16" s="44">
        <f t="shared" si="3"/>
        <v>200</v>
      </c>
      <c r="S16" s="44" t="s">
        <v>45</v>
      </c>
      <c r="T16" s="43" t="s">
        <v>47</v>
      </c>
      <c r="U16" s="94">
        <v>4</v>
      </c>
      <c r="V16" s="89" t="s">
        <v>406</v>
      </c>
      <c r="W16" s="89" t="s">
        <v>33</v>
      </c>
      <c r="X16" s="89" t="s">
        <v>37</v>
      </c>
      <c r="Y16" s="89" t="s">
        <v>37</v>
      </c>
      <c r="Z16" s="89" t="s">
        <v>407</v>
      </c>
      <c r="AA16" s="89" t="s">
        <v>64</v>
      </c>
      <c r="AB16" s="95" t="s">
        <v>54</v>
      </c>
      <c r="AC16" s="116" t="s">
        <v>54</v>
      </c>
    </row>
    <row r="17" spans="1:31" ht="135" x14ac:dyDescent="0.2">
      <c r="A17" s="246"/>
      <c r="B17" s="243"/>
      <c r="C17" s="128" t="s">
        <v>556</v>
      </c>
      <c r="D17" s="7" t="s">
        <v>121</v>
      </c>
      <c r="E17" s="7" t="s">
        <v>122</v>
      </c>
      <c r="F17" s="6" t="s">
        <v>33</v>
      </c>
      <c r="G17" s="6" t="s">
        <v>123</v>
      </c>
      <c r="H17" s="15" t="s">
        <v>51</v>
      </c>
      <c r="I17" s="6" t="s">
        <v>159</v>
      </c>
      <c r="J17" s="8" t="s">
        <v>124</v>
      </c>
      <c r="K17" s="8" t="s">
        <v>71</v>
      </c>
      <c r="L17" s="8" t="s">
        <v>71</v>
      </c>
      <c r="M17" s="140">
        <v>6</v>
      </c>
      <c r="N17" s="42">
        <v>3</v>
      </c>
      <c r="O17" s="44">
        <f t="shared" si="2"/>
        <v>18</v>
      </c>
      <c r="P17" s="44" t="s">
        <v>40</v>
      </c>
      <c r="Q17" s="42">
        <v>100</v>
      </c>
      <c r="R17" s="44">
        <f t="shared" si="3"/>
        <v>1800</v>
      </c>
      <c r="S17" s="44" t="s">
        <v>35</v>
      </c>
      <c r="T17" s="43" t="s">
        <v>36</v>
      </c>
      <c r="U17" s="11">
        <v>2</v>
      </c>
      <c r="V17" s="11"/>
      <c r="W17" s="8" t="s">
        <v>159</v>
      </c>
      <c r="X17" s="8" t="s">
        <v>33</v>
      </c>
      <c r="Y17" s="8" t="s">
        <v>37</v>
      </c>
      <c r="Z17" s="8" t="s">
        <v>37</v>
      </c>
      <c r="AA17" s="8" t="s">
        <v>160</v>
      </c>
      <c r="AB17" s="8" t="s">
        <v>161</v>
      </c>
      <c r="AC17" s="17" t="s">
        <v>54</v>
      </c>
      <c r="AD17" s="17" t="s">
        <v>54</v>
      </c>
      <c r="AE17" s="46"/>
    </row>
    <row r="18" spans="1:31" ht="128.25" x14ac:dyDescent="0.2">
      <c r="A18" s="246"/>
      <c r="B18" s="243"/>
      <c r="C18" s="128" t="s">
        <v>556</v>
      </c>
      <c r="D18" s="91" t="s">
        <v>225</v>
      </c>
      <c r="E18" s="91" t="s">
        <v>59</v>
      </c>
      <c r="F18" s="90" t="s">
        <v>33</v>
      </c>
      <c r="G18" s="90" t="s">
        <v>115</v>
      </c>
      <c r="H18" s="97" t="s">
        <v>73</v>
      </c>
      <c r="I18" s="90" t="s">
        <v>117</v>
      </c>
      <c r="J18" s="89" t="s">
        <v>71</v>
      </c>
      <c r="K18" s="89" t="s">
        <v>71</v>
      </c>
      <c r="L18" s="89" t="s">
        <v>156</v>
      </c>
      <c r="M18" s="140">
        <v>2</v>
      </c>
      <c r="N18" s="42">
        <v>3</v>
      </c>
      <c r="O18" s="44">
        <f t="shared" si="2"/>
        <v>6</v>
      </c>
      <c r="P18" s="44" t="s">
        <v>34</v>
      </c>
      <c r="Q18" s="42">
        <v>25</v>
      </c>
      <c r="R18" s="44">
        <f t="shared" si="3"/>
        <v>150</v>
      </c>
      <c r="S18" s="44" t="s">
        <v>45</v>
      </c>
      <c r="T18" s="43" t="s">
        <v>47</v>
      </c>
      <c r="U18" s="94">
        <v>4</v>
      </c>
      <c r="V18" s="89" t="s">
        <v>118</v>
      </c>
      <c r="W18" s="89" t="s">
        <v>33</v>
      </c>
      <c r="X18" s="89" t="s">
        <v>37</v>
      </c>
      <c r="Y18" s="89" t="s">
        <v>37</v>
      </c>
      <c r="Z18" s="89" t="s">
        <v>37</v>
      </c>
      <c r="AA18" s="89" t="s">
        <v>157</v>
      </c>
      <c r="AB18" s="95" t="s">
        <v>54</v>
      </c>
      <c r="AC18" s="116" t="s">
        <v>54</v>
      </c>
    </row>
    <row r="19" spans="1:31" ht="114" x14ac:dyDescent="0.2">
      <c r="A19" s="246"/>
      <c r="B19" s="243"/>
      <c r="C19" s="128" t="s">
        <v>556</v>
      </c>
      <c r="D19" s="91" t="s">
        <v>102</v>
      </c>
      <c r="E19" s="91" t="s">
        <v>59</v>
      </c>
      <c r="F19" s="90" t="s">
        <v>33</v>
      </c>
      <c r="G19" s="90" t="s">
        <v>101</v>
      </c>
      <c r="H19" s="97" t="s">
        <v>78</v>
      </c>
      <c r="I19" s="90" t="s">
        <v>103</v>
      </c>
      <c r="J19" s="89" t="s">
        <v>142</v>
      </c>
      <c r="K19" s="89" t="s">
        <v>71</v>
      </c>
      <c r="L19" s="89" t="s">
        <v>71</v>
      </c>
      <c r="M19" s="140">
        <v>2</v>
      </c>
      <c r="N19" s="42">
        <v>2</v>
      </c>
      <c r="O19" s="44">
        <f t="shared" si="0"/>
        <v>4</v>
      </c>
      <c r="P19" s="44" t="s">
        <v>39</v>
      </c>
      <c r="Q19" s="42">
        <v>25</v>
      </c>
      <c r="R19" s="44">
        <f t="shared" si="1"/>
        <v>100</v>
      </c>
      <c r="S19" s="44" t="s">
        <v>42</v>
      </c>
      <c r="T19" s="43" t="s">
        <v>43</v>
      </c>
      <c r="U19" s="94">
        <v>4</v>
      </c>
      <c r="V19" s="89" t="s">
        <v>104</v>
      </c>
      <c r="W19" s="89" t="s">
        <v>33</v>
      </c>
      <c r="X19" s="89" t="s">
        <v>37</v>
      </c>
      <c r="Y19" s="89" t="s">
        <v>37</v>
      </c>
      <c r="Z19" s="89" t="s">
        <v>37</v>
      </c>
      <c r="AA19" s="89" t="s">
        <v>105</v>
      </c>
      <c r="AB19" s="95" t="s">
        <v>54</v>
      </c>
      <c r="AC19" s="116" t="s">
        <v>54</v>
      </c>
    </row>
    <row r="20" spans="1:31" ht="65.25" x14ac:dyDescent="0.2">
      <c r="A20" s="246"/>
      <c r="B20" s="243"/>
      <c r="C20" s="128" t="s">
        <v>556</v>
      </c>
      <c r="D20" s="91" t="s">
        <v>102</v>
      </c>
      <c r="E20" s="91" t="s">
        <v>59</v>
      </c>
      <c r="F20" s="90" t="s">
        <v>33</v>
      </c>
      <c r="G20" s="90" t="s">
        <v>237</v>
      </c>
      <c r="H20" s="97" t="s">
        <v>147</v>
      </c>
      <c r="I20" s="90" t="s">
        <v>38</v>
      </c>
      <c r="J20" s="89" t="s">
        <v>71</v>
      </c>
      <c r="K20" s="89" t="s">
        <v>148</v>
      </c>
      <c r="L20" s="89" t="s">
        <v>71</v>
      </c>
      <c r="M20" s="140">
        <v>6</v>
      </c>
      <c r="N20" s="42">
        <v>3</v>
      </c>
      <c r="O20" s="44">
        <f t="shared" si="0"/>
        <v>18</v>
      </c>
      <c r="P20" s="44" t="s">
        <v>40</v>
      </c>
      <c r="Q20" s="42">
        <v>100</v>
      </c>
      <c r="R20" s="44">
        <f t="shared" si="1"/>
        <v>1800</v>
      </c>
      <c r="S20" s="44" t="s">
        <v>35</v>
      </c>
      <c r="T20" s="43" t="s">
        <v>36</v>
      </c>
      <c r="U20" s="94">
        <v>5</v>
      </c>
      <c r="V20" s="89" t="s">
        <v>38</v>
      </c>
      <c r="W20" s="89" t="s">
        <v>33</v>
      </c>
      <c r="X20" s="89" t="s">
        <v>37</v>
      </c>
      <c r="Y20" s="89" t="s">
        <v>37</v>
      </c>
      <c r="Z20" s="89" t="s">
        <v>37</v>
      </c>
      <c r="AA20" s="89" t="s">
        <v>107</v>
      </c>
      <c r="AB20" s="95" t="s">
        <v>54</v>
      </c>
      <c r="AC20" s="116" t="s">
        <v>54</v>
      </c>
    </row>
    <row r="21" spans="1:31" ht="87" customHeight="1" x14ac:dyDescent="0.2">
      <c r="A21" s="246"/>
      <c r="B21" s="244"/>
      <c r="C21" s="128" t="s">
        <v>556</v>
      </c>
      <c r="D21" s="91" t="s">
        <v>102</v>
      </c>
      <c r="E21" s="91" t="s">
        <v>59</v>
      </c>
      <c r="F21" s="90" t="s">
        <v>33</v>
      </c>
      <c r="G21" s="90" t="s">
        <v>172</v>
      </c>
      <c r="H21" s="97" t="s">
        <v>49</v>
      </c>
      <c r="I21" s="90" t="s">
        <v>81</v>
      </c>
      <c r="J21" s="98" t="s">
        <v>85</v>
      </c>
      <c r="K21" s="90" t="s">
        <v>71</v>
      </c>
      <c r="L21" s="90" t="s">
        <v>149</v>
      </c>
      <c r="M21" s="140">
        <v>2</v>
      </c>
      <c r="N21" s="42">
        <v>4</v>
      </c>
      <c r="O21" s="44">
        <f t="shared" si="0"/>
        <v>8</v>
      </c>
      <c r="P21" s="44" t="s">
        <v>40</v>
      </c>
      <c r="Q21" s="42">
        <v>100</v>
      </c>
      <c r="R21" s="44">
        <f t="shared" si="1"/>
        <v>800</v>
      </c>
      <c r="S21" s="44" t="s">
        <v>35</v>
      </c>
      <c r="T21" s="43" t="s">
        <v>36</v>
      </c>
      <c r="U21" s="94">
        <v>5</v>
      </c>
      <c r="V21" s="90" t="s">
        <v>81</v>
      </c>
      <c r="W21" s="89" t="s">
        <v>33</v>
      </c>
      <c r="X21" s="89" t="s">
        <v>37</v>
      </c>
      <c r="Y21" s="89" t="s">
        <v>37</v>
      </c>
      <c r="Z21" s="89" t="s">
        <v>173</v>
      </c>
      <c r="AA21" s="90" t="s">
        <v>149</v>
      </c>
      <c r="AB21" s="95" t="s">
        <v>54</v>
      </c>
      <c r="AC21" s="116" t="s">
        <v>54</v>
      </c>
    </row>
    <row r="22" spans="1:31" ht="114" x14ac:dyDescent="0.2">
      <c r="B22" s="203" t="s">
        <v>474</v>
      </c>
      <c r="C22" s="204"/>
      <c r="D22" s="204"/>
      <c r="E22" s="205"/>
      <c r="F22" s="90" t="s">
        <v>33</v>
      </c>
      <c r="G22" s="90" t="s">
        <v>418</v>
      </c>
      <c r="H22" s="97" t="s">
        <v>270</v>
      </c>
      <c r="I22" s="90" t="s">
        <v>271</v>
      </c>
      <c r="J22" s="98" t="s">
        <v>272</v>
      </c>
      <c r="K22" s="90" t="s">
        <v>273</v>
      </c>
      <c r="L22" s="90" t="s">
        <v>412</v>
      </c>
      <c r="M22" s="140">
        <v>2</v>
      </c>
      <c r="N22" s="42">
        <v>4</v>
      </c>
      <c r="O22" s="44">
        <f t="shared" si="0"/>
        <v>8</v>
      </c>
      <c r="P22" s="44" t="s">
        <v>34</v>
      </c>
      <c r="Q22" s="42">
        <v>25</v>
      </c>
      <c r="R22" s="44">
        <f t="shared" si="1"/>
        <v>200</v>
      </c>
      <c r="S22" s="44" t="s">
        <v>35</v>
      </c>
      <c r="T22" s="43" t="s">
        <v>43</v>
      </c>
      <c r="U22" s="94">
        <v>9</v>
      </c>
      <c r="V22" s="90" t="s">
        <v>413</v>
      </c>
      <c r="W22" s="89" t="s">
        <v>33</v>
      </c>
      <c r="X22" s="89" t="s">
        <v>37</v>
      </c>
      <c r="Y22" s="89" t="s">
        <v>37</v>
      </c>
      <c r="Z22" s="89" t="s">
        <v>37</v>
      </c>
      <c r="AA22" s="90" t="s">
        <v>415</v>
      </c>
      <c r="AB22" s="95" t="s">
        <v>414</v>
      </c>
      <c r="AC22" s="116" t="s">
        <v>277</v>
      </c>
    </row>
    <row r="23" spans="1:31" ht="99.75" x14ac:dyDescent="0.2">
      <c r="B23" s="203" t="s">
        <v>474</v>
      </c>
      <c r="C23" s="204"/>
      <c r="D23" s="204"/>
      <c r="E23" s="205"/>
      <c r="F23" s="90" t="s">
        <v>33</v>
      </c>
      <c r="G23" s="90" t="s">
        <v>172</v>
      </c>
      <c r="H23" s="97" t="s">
        <v>49</v>
      </c>
      <c r="I23" s="90" t="s">
        <v>81</v>
      </c>
      <c r="J23" s="98" t="s">
        <v>85</v>
      </c>
      <c r="K23" s="90" t="s">
        <v>473</v>
      </c>
      <c r="L23" s="90" t="s">
        <v>149</v>
      </c>
      <c r="M23" s="140">
        <v>2</v>
      </c>
      <c r="N23" s="42">
        <v>3</v>
      </c>
      <c r="O23" s="44">
        <f t="shared" si="0"/>
        <v>6</v>
      </c>
      <c r="P23" s="44" t="s">
        <v>34</v>
      </c>
      <c r="Q23" s="42">
        <v>60</v>
      </c>
      <c r="R23" s="44">
        <f t="shared" si="1"/>
        <v>360</v>
      </c>
      <c r="S23" s="44" t="s">
        <v>35</v>
      </c>
      <c r="T23" s="43" t="s">
        <v>36</v>
      </c>
      <c r="U23" s="94">
        <v>12</v>
      </c>
      <c r="V23" s="90" t="s">
        <v>81</v>
      </c>
      <c r="W23" s="89" t="s">
        <v>33</v>
      </c>
      <c r="X23" s="89" t="s">
        <v>37</v>
      </c>
      <c r="Y23" s="89" t="s">
        <v>37</v>
      </c>
      <c r="Z23" s="89" t="s">
        <v>173</v>
      </c>
      <c r="AA23" s="90" t="s">
        <v>149</v>
      </c>
      <c r="AB23" s="95" t="s">
        <v>54</v>
      </c>
      <c r="AC23" s="116" t="s">
        <v>54</v>
      </c>
    </row>
  </sheetData>
  <mergeCells count="25">
    <mergeCell ref="B23:E23"/>
    <mergeCell ref="AC1:AC2"/>
    <mergeCell ref="C3:AB4"/>
    <mergeCell ref="AC3:AC4"/>
    <mergeCell ref="G8:H8"/>
    <mergeCell ref="I8:I9"/>
    <mergeCell ref="A1:B4"/>
    <mergeCell ref="A5:AC5"/>
    <mergeCell ref="F6:AC6"/>
    <mergeCell ref="D8:D9"/>
    <mergeCell ref="B10:B21"/>
    <mergeCell ref="A10:A21"/>
    <mergeCell ref="A8:A9"/>
    <mergeCell ref="B8:B9"/>
    <mergeCell ref="B22:E22"/>
    <mergeCell ref="A6:E6"/>
    <mergeCell ref="A7:AC7"/>
    <mergeCell ref="M8:S8"/>
    <mergeCell ref="C1:AB2"/>
    <mergeCell ref="F8:F9"/>
    <mergeCell ref="U8:W8"/>
    <mergeCell ref="E8:E9"/>
    <mergeCell ref="X8:AC8"/>
    <mergeCell ref="J8:L8"/>
    <mergeCell ref="C8:C9"/>
  </mergeCells>
  <conditionalFormatting sqref="M10:M23">
    <cfRule type="cellIs" dxfId="55" priority="13" stopIfTrue="1" operator="equal">
      <formula>10</formula>
    </cfRule>
    <cfRule type="cellIs" dxfId="54" priority="14" stopIfTrue="1" operator="equal">
      <formula>6</formula>
    </cfRule>
    <cfRule type="cellIs" dxfId="53" priority="15" stopIfTrue="1" operator="equal">
      <formula>2</formula>
    </cfRule>
    <cfRule type="cellIs" dxfId="52" priority="16" stopIfTrue="1" operator="equal">
      <formula>0</formula>
    </cfRule>
  </conditionalFormatting>
  <conditionalFormatting sqref="N10:N23">
    <cfRule type="cellIs" dxfId="51" priority="17" stopIfTrue="1" operator="equal">
      <formula>4</formula>
    </cfRule>
    <cfRule type="cellIs" dxfId="50" priority="18" stopIfTrue="1" operator="equal">
      <formula>3</formula>
    </cfRule>
    <cfRule type="cellIs" dxfId="49" priority="19" stopIfTrue="1" operator="equal">
      <formula>2</formula>
    </cfRule>
    <cfRule type="cellIs" dxfId="48" priority="20" stopIfTrue="1" operator="equal">
      <formula>1</formula>
    </cfRule>
  </conditionalFormatting>
  <conditionalFormatting sqref="O10:O23">
    <cfRule type="cellIs" dxfId="47" priority="1" stopIfTrue="1" operator="between">
      <formula>24</formula>
      <formula>40</formula>
    </cfRule>
    <cfRule type="cellIs" dxfId="46" priority="2" stopIfTrue="1" operator="between">
      <formula>10</formula>
      <formula>20</formula>
    </cfRule>
    <cfRule type="cellIs" dxfId="45" priority="3" stopIfTrue="1" operator="between">
      <formula>6</formula>
      <formula>8</formula>
    </cfRule>
    <cfRule type="cellIs" dxfId="44" priority="4" stopIfTrue="1" operator="between">
      <formula>2</formula>
      <formula>4</formula>
    </cfRule>
  </conditionalFormatting>
  <conditionalFormatting sqref="P10:P23">
    <cfRule type="expression" dxfId="43" priority="25" stopIfTrue="1">
      <formula>LEFT(P10,LEN("MUY ALTO"))="MUY ALTO"</formula>
    </cfRule>
    <cfRule type="expression" dxfId="42" priority="26" stopIfTrue="1">
      <formula>LEFT(P10,LEN("ALTO"))="ALTO"</formula>
    </cfRule>
    <cfRule type="expression" dxfId="41" priority="27" stopIfTrue="1">
      <formula>LEFT(P10,LEN("MEDIO"))="MEDIO"</formula>
    </cfRule>
  </conditionalFormatting>
  <conditionalFormatting sqref="Q10:Q23">
    <cfRule type="cellIs" dxfId="40" priority="5" stopIfTrue="1" operator="greaterThanOrEqual">
      <formula>100</formula>
    </cfRule>
    <cfRule type="cellIs" dxfId="39" priority="6" stopIfTrue="1" operator="between">
      <formula>60</formula>
      <formula>99</formula>
    </cfRule>
    <cfRule type="cellIs" dxfId="38" priority="7" stopIfTrue="1" operator="between">
      <formula>25</formula>
      <formula>59</formula>
    </cfRule>
    <cfRule type="cellIs" dxfId="37" priority="8" stopIfTrue="1" operator="between">
      <formula>0</formula>
      <formula>10</formula>
    </cfRule>
  </conditionalFormatting>
  <conditionalFormatting sqref="R10:R23">
    <cfRule type="cellIs" dxfId="36" priority="9" stopIfTrue="1" operator="between">
      <formula>600</formula>
      <formula>4000</formula>
    </cfRule>
    <cfRule type="cellIs" dxfId="35" priority="10" stopIfTrue="1" operator="between">
      <formula>150</formula>
      <formula>500</formula>
    </cfRule>
    <cfRule type="cellIs" dxfId="34" priority="11" stopIfTrue="1" operator="between">
      <formula>40</formula>
      <formula>120</formula>
    </cfRule>
    <cfRule type="cellIs" dxfId="33" priority="12" stopIfTrue="1" operator="between">
      <formula>0</formula>
      <formula>20</formula>
    </cfRule>
  </conditionalFormatting>
  <conditionalFormatting sqref="S10:S23">
    <cfRule type="expression" dxfId="32" priority="28" stopIfTrue="1">
      <formula>LEFT(S10,LEN("Situación"))="Situación"</formula>
    </cfRule>
    <cfRule type="expression" dxfId="31" priority="29" stopIfTrue="1">
      <formula>LEFT(S10,LEN("Corregir"))="Corregir"</formula>
    </cfRule>
    <cfRule type="expression" dxfId="30" priority="30" stopIfTrue="1">
      <formula>LEFT(S10,LEN("Mejorar"))="Mejorar"</formula>
    </cfRule>
  </conditionalFormatting>
  <conditionalFormatting sqref="T10:T23">
    <cfRule type="containsText" dxfId="29" priority="21" stopIfTrue="1" operator="containsText" text="NO ACEPTABLE: Situación Crítica, corrección urgente">
      <formula>NOT(ISERROR(SEARCH(("NO ACEPTABLE: Situación Crítica, corrección urgente"),(T10))))</formula>
    </cfRule>
    <cfRule type="containsText" dxfId="28" priority="22" stopIfTrue="1" operator="containsText" text="NO ACEPTABLE O ACEPTABLE CON CONTROL ESPECÍFICO: Corregir o adoptar medidas de control">
      <formula>NOT(ISERROR(SEARCH(("NO ACEPTABLE O ACEPTABLE CON CONTROL ESPECÍFICO: Corregir o adoptar medidas de control"),(T10))))</formula>
    </cfRule>
    <cfRule type="containsText" dxfId="27" priority="23" stopIfTrue="1" operator="containsText" text="MEJORABLE: Mejorar el control existente">
      <formula>NOT(ISERROR(SEARCH(("MEJORABLE: Mejorar el control existente"),(T10))))</formula>
    </cfRule>
    <cfRule type="containsText" dxfId="26" priority="24" stopIfTrue="1" operator="containsText" text="ACEPTABLE: No intervenir, Salvo que un análisis más preciso lo justifique">
      <formula>NOT(ISERROR(SEARCH(("ACEPTABLE: No intervenir, Salvo que un análisis más preciso lo justifique"),(T10))))</formula>
    </cfRule>
  </conditionalFormatting>
  <pageMargins left="0.23622047244094491" right="0.23622047244094491" top="0.74803149606299213" bottom="0.74803149606299213" header="0.31496062992125984" footer="0.31496062992125984"/>
  <pageSetup paperSize="9" scale="25"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6" tint="-0.249977111117893"/>
  </sheetPr>
  <dimension ref="A1:AJ17"/>
  <sheetViews>
    <sheetView zoomScale="85" zoomScaleNormal="85" workbookViewId="0">
      <selection sqref="A1:AJ17"/>
    </sheetView>
  </sheetViews>
  <sheetFormatPr baseColWidth="10" defaultRowHeight="12.75" x14ac:dyDescent="0.2"/>
  <cols>
    <col min="1" max="1" width="11.42578125" style="12"/>
    <col min="2" max="2" width="19.140625" style="12" customWidth="1"/>
    <col min="3" max="3" width="9.140625" style="25" customWidth="1"/>
    <col min="4" max="4" width="13.42578125" style="25" customWidth="1"/>
    <col min="5" max="5" width="11.42578125" style="25"/>
    <col min="6" max="6" width="14.28515625" style="12" customWidth="1"/>
    <col min="7" max="7" width="19.85546875" customWidth="1"/>
    <col min="8" max="8" width="39.140625" customWidth="1"/>
    <col min="9" max="9" width="24.85546875" customWidth="1"/>
    <col min="10" max="10" width="13.85546875" customWidth="1"/>
    <col min="11" max="11" width="15.5703125" customWidth="1"/>
    <col min="12" max="12" width="18.140625" customWidth="1"/>
    <col min="13" max="13" width="3" bestFit="1" customWidth="1"/>
    <col min="14" max="14" width="4.7109375" customWidth="1"/>
    <col min="15" max="15" width="4" bestFit="1" customWidth="1"/>
    <col min="16" max="16" width="27.7109375" customWidth="1"/>
    <col min="17" max="17" width="4" bestFit="1" customWidth="1"/>
    <col min="18" max="18" width="6.7109375" customWidth="1"/>
    <col min="19" max="19" width="28.7109375" customWidth="1"/>
    <col min="20" max="20" width="24" customWidth="1"/>
    <col min="21" max="21" width="12.5703125" customWidth="1"/>
    <col min="22" max="23" width="17.28515625" customWidth="1"/>
    <col min="24" max="24" width="19.5703125" customWidth="1"/>
    <col min="25" max="25" width="13.5703125" bestFit="1" customWidth="1"/>
    <col min="26" max="26" width="14.42578125" bestFit="1" customWidth="1"/>
    <col min="27" max="27" width="30.28515625" customWidth="1"/>
    <col min="28" max="28" width="27" customWidth="1"/>
    <col min="29" max="29" width="26.85546875" bestFit="1" customWidth="1"/>
    <col min="30" max="30" width="23.7109375" customWidth="1"/>
    <col min="31" max="31" width="29.140625" customWidth="1"/>
  </cols>
  <sheetData>
    <row r="1" spans="1:36" s="12" customFormat="1" ht="24.75" customHeight="1" thickTop="1" thickBot="1" x14ac:dyDescent="0.25">
      <c r="A1" s="157"/>
      <c r="B1" s="157"/>
      <c r="C1" s="158" t="str">
        <f>+ADMINISTRACIÓN!C1</f>
        <v>CONJUNTO RESIDENCIAL ABEDUL - PH</v>
      </c>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61" t="s">
        <v>585</v>
      </c>
      <c r="AD1" s="49"/>
      <c r="AE1" s="49"/>
      <c r="AF1" s="49"/>
      <c r="AG1" s="49"/>
      <c r="AH1" s="49"/>
      <c r="AI1" s="49"/>
      <c r="AJ1" s="49"/>
    </row>
    <row r="2" spans="1:36" s="12" customFormat="1" ht="21" customHeight="1" thickTop="1" thickBot="1" x14ac:dyDescent="0.25">
      <c r="A2" s="157"/>
      <c r="B2" s="157"/>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61"/>
      <c r="AD2" s="49"/>
      <c r="AE2" s="49"/>
      <c r="AF2" s="49"/>
      <c r="AG2" s="49"/>
      <c r="AH2" s="49"/>
      <c r="AI2" s="49"/>
      <c r="AJ2" s="49"/>
    </row>
    <row r="3" spans="1:36" s="12" customFormat="1" ht="24.75" customHeight="1" thickTop="1" thickBot="1" x14ac:dyDescent="0.25">
      <c r="A3" s="157"/>
      <c r="B3" s="157"/>
      <c r="C3" s="168" t="s">
        <v>268</v>
      </c>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9" t="s">
        <v>586</v>
      </c>
      <c r="AD3" s="49"/>
      <c r="AE3" s="49"/>
      <c r="AF3" s="49"/>
      <c r="AG3" s="49"/>
      <c r="AH3" s="49"/>
      <c r="AI3" s="49"/>
      <c r="AJ3" s="49"/>
    </row>
    <row r="4" spans="1:36" s="12" customFormat="1" ht="21.75" customHeight="1" thickTop="1" thickBot="1" x14ac:dyDescent="0.25">
      <c r="A4" s="157"/>
      <c r="B4" s="157"/>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1"/>
      <c r="AD4" s="49"/>
      <c r="AE4" s="49"/>
      <c r="AF4" s="49"/>
      <c r="AG4" s="49"/>
      <c r="AH4" s="49"/>
      <c r="AI4" s="49"/>
      <c r="AJ4" s="49"/>
    </row>
    <row r="5" spans="1:36" s="12" customFormat="1" ht="23.25" customHeight="1" thickTop="1" x14ac:dyDescent="0.2">
      <c r="A5" s="199" t="s">
        <v>588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49"/>
      <c r="AE5" s="49"/>
      <c r="AF5" s="49"/>
      <c r="AG5" s="49"/>
      <c r="AH5" s="49"/>
      <c r="AI5" s="49"/>
      <c r="AJ5" s="49"/>
    </row>
    <row r="6" spans="1:36" s="12" customFormat="1" ht="25.5" customHeight="1" x14ac:dyDescent="0.2">
      <c r="A6" s="206" t="s">
        <v>278</v>
      </c>
      <c r="B6" s="207"/>
      <c r="C6" s="207"/>
      <c r="D6" s="207"/>
      <c r="E6" s="208"/>
      <c r="F6" s="262" t="s">
        <v>487</v>
      </c>
      <c r="G6" s="263"/>
      <c r="H6" s="263"/>
      <c r="I6" s="263"/>
      <c r="J6" s="263"/>
      <c r="K6" s="263"/>
      <c r="L6" s="263"/>
      <c r="M6" s="263"/>
      <c r="N6" s="263"/>
      <c r="O6" s="263"/>
      <c r="P6" s="263"/>
      <c r="Q6" s="263"/>
      <c r="R6" s="263"/>
      <c r="S6" s="263"/>
      <c r="T6" s="263"/>
      <c r="U6" s="263"/>
      <c r="V6" s="263"/>
      <c r="W6" s="263"/>
      <c r="X6" s="263"/>
      <c r="Y6" s="263"/>
      <c r="Z6" s="263"/>
      <c r="AA6" s="263"/>
      <c r="AB6" s="263"/>
      <c r="AC6" s="264"/>
      <c r="AD6" s="49"/>
      <c r="AE6" s="49"/>
      <c r="AF6" s="49"/>
      <c r="AG6" s="49"/>
      <c r="AH6" s="49"/>
      <c r="AI6" s="49"/>
      <c r="AJ6" s="49"/>
    </row>
    <row r="7" spans="1:36" ht="15.75" customHeight="1" x14ac:dyDescent="0.2">
      <c r="A7" s="258"/>
      <c r="B7" s="259"/>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1"/>
      <c r="AG7" s="1"/>
      <c r="AH7" s="1"/>
      <c r="AI7" s="1"/>
      <c r="AJ7" s="1"/>
    </row>
    <row r="8" spans="1:36" s="3" customFormat="1" ht="29.25" customHeight="1" x14ac:dyDescent="0.2">
      <c r="A8" s="170" t="s">
        <v>0</v>
      </c>
      <c r="B8" s="146" t="s">
        <v>109</v>
      </c>
      <c r="C8" s="146" t="s">
        <v>1</v>
      </c>
      <c r="D8" s="146" t="s">
        <v>2</v>
      </c>
      <c r="E8" s="146" t="s">
        <v>3</v>
      </c>
      <c r="F8" s="146" t="s">
        <v>4</v>
      </c>
      <c r="G8" s="154" t="s">
        <v>5</v>
      </c>
      <c r="H8" s="156"/>
      <c r="I8" s="146" t="s">
        <v>6</v>
      </c>
      <c r="J8" s="154" t="s">
        <v>7</v>
      </c>
      <c r="K8" s="155"/>
      <c r="L8" s="156"/>
      <c r="M8" s="148" t="s">
        <v>8</v>
      </c>
      <c r="N8" s="149"/>
      <c r="O8" s="149"/>
      <c r="P8" s="149"/>
      <c r="Q8" s="149"/>
      <c r="R8" s="149"/>
      <c r="S8" s="150"/>
      <c r="T8" s="2" t="s">
        <v>9</v>
      </c>
      <c r="U8" s="154" t="s">
        <v>10</v>
      </c>
      <c r="V8" s="155"/>
      <c r="W8" s="155"/>
      <c r="X8" s="156"/>
      <c r="Y8" s="260" t="s">
        <v>11</v>
      </c>
      <c r="Z8" s="261"/>
      <c r="AA8" s="261"/>
      <c r="AB8" s="261"/>
      <c r="AC8" s="261"/>
      <c r="AD8" s="261"/>
      <c r="AE8" s="261"/>
    </row>
    <row r="9" spans="1:36" s="3" customFormat="1" ht="57.75" customHeight="1" x14ac:dyDescent="0.2">
      <c r="A9" s="171"/>
      <c r="B9" s="147"/>
      <c r="C9" s="147"/>
      <c r="D9" s="147"/>
      <c r="E9" s="147"/>
      <c r="F9" s="147"/>
      <c r="G9" s="2" t="s">
        <v>12</v>
      </c>
      <c r="H9" s="2" t="s">
        <v>13</v>
      </c>
      <c r="I9" s="147"/>
      <c r="J9" s="2" t="s">
        <v>14</v>
      </c>
      <c r="K9" s="2" t="s">
        <v>15</v>
      </c>
      <c r="L9" s="2" t="s">
        <v>16</v>
      </c>
      <c r="M9" s="4" t="s">
        <v>17</v>
      </c>
      <c r="N9" s="21" t="s">
        <v>18</v>
      </c>
      <c r="O9" s="4" t="s">
        <v>19</v>
      </c>
      <c r="P9" s="19" t="s">
        <v>20</v>
      </c>
      <c r="Q9" s="19" t="s">
        <v>21</v>
      </c>
      <c r="R9" s="4" t="s">
        <v>22</v>
      </c>
      <c r="S9" s="18" t="s">
        <v>20</v>
      </c>
      <c r="T9" s="18" t="s">
        <v>23</v>
      </c>
      <c r="U9" s="40" t="s">
        <v>274</v>
      </c>
      <c r="V9" s="40" t="s">
        <v>275</v>
      </c>
      <c r="W9" s="5" t="s">
        <v>25</v>
      </c>
      <c r="X9" s="20" t="s">
        <v>26</v>
      </c>
      <c r="Y9" s="4" t="s">
        <v>27</v>
      </c>
      <c r="Z9" s="4" t="s">
        <v>28</v>
      </c>
      <c r="AA9" s="2" t="s">
        <v>29</v>
      </c>
      <c r="AB9" s="2" t="s">
        <v>30</v>
      </c>
      <c r="AC9" s="2" t="s">
        <v>31</v>
      </c>
      <c r="AD9" s="4" t="s">
        <v>276</v>
      </c>
      <c r="AE9" s="47" t="s">
        <v>480</v>
      </c>
    </row>
    <row r="10" spans="1:36" ht="99.95" customHeight="1" x14ac:dyDescent="0.2">
      <c r="A10" s="252" t="s">
        <v>409</v>
      </c>
      <c r="B10" s="23" t="s">
        <v>129</v>
      </c>
      <c r="C10" s="24" t="s">
        <v>102</v>
      </c>
      <c r="D10" s="7" t="s">
        <v>102</v>
      </c>
      <c r="E10" s="7" t="s">
        <v>59</v>
      </c>
      <c r="F10" s="6" t="s">
        <v>33</v>
      </c>
      <c r="G10" s="6" t="s">
        <v>165</v>
      </c>
      <c r="H10" s="15" t="s">
        <v>94</v>
      </c>
      <c r="I10" s="6" t="s">
        <v>150</v>
      </c>
      <c r="J10" s="8" t="s">
        <v>71</v>
      </c>
      <c r="K10" s="8" t="s">
        <v>166</v>
      </c>
      <c r="L10" s="8" t="s">
        <v>84</v>
      </c>
      <c r="M10" s="140">
        <v>2</v>
      </c>
      <c r="N10" s="42">
        <v>2</v>
      </c>
      <c r="O10" s="44">
        <f>M10*N10</f>
        <v>4</v>
      </c>
      <c r="P10" s="44" t="s">
        <v>39</v>
      </c>
      <c r="Q10" s="42">
        <v>25</v>
      </c>
      <c r="R10" s="44">
        <f>O10*Q10</f>
        <v>100</v>
      </c>
      <c r="S10" s="44" t="s">
        <v>42</v>
      </c>
      <c r="T10" s="10" t="s">
        <v>43</v>
      </c>
      <c r="U10" s="22">
        <v>12</v>
      </c>
      <c r="V10" s="22"/>
      <c r="W10" s="8" t="s">
        <v>151</v>
      </c>
      <c r="X10" s="8" t="s">
        <v>33</v>
      </c>
      <c r="Y10" s="8" t="s">
        <v>37</v>
      </c>
      <c r="Z10" s="8" t="s">
        <v>37</v>
      </c>
      <c r="AA10" s="8" t="s">
        <v>381</v>
      </c>
      <c r="AB10" s="8" t="s">
        <v>54</v>
      </c>
      <c r="AC10" s="13" t="s">
        <v>54</v>
      </c>
      <c r="AD10" s="9" t="s">
        <v>54</v>
      </c>
      <c r="AE10" s="46"/>
    </row>
    <row r="11" spans="1:36" ht="99.95" customHeight="1" x14ac:dyDescent="0.2">
      <c r="A11" s="253"/>
      <c r="B11" s="23" t="s">
        <v>129</v>
      </c>
      <c r="C11" s="24" t="s">
        <v>102</v>
      </c>
      <c r="D11" s="7" t="s">
        <v>102</v>
      </c>
      <c r="E11" s="7" t="s">
        <v>59</v>
      </c>
      <c r="F11" s="6" t="s">
        <v>33</v>
      </c>
      <c r="G11" s="6" t="s">
        <v>167</v>
      </c>
      <c r="H11" s="15" t="s">
        <v>77</v>
      </c>
      <c r="I11" s="6" t="s">
        <v>38</v>
      </c>
      <c r="J11" s="8" t="s">
        <v>132</v>
      </c>
      <c r="K11" s="8" t="s">
        <v>130</v>
      </c>
      <c r="L11" s="8" t="s">
        <v>131</v>
      </c>
      <c r="M11" s="140">
        <v>2</v>
      </c>
      <c r="N11" s="42">
        <v>2</v>
      </c>
      <c r="O11" s="44">
        <f t="shared" ref="O11:O17" si="0">M11*N11</f>
        <v>4</v>
      </c>
      <c r="P11" s="44" t="s">
        <v>39</v>
      </c>
      <c r="Q11" s="42">
        <v>100</v>
      </c>
      <c r="R11" s="44">
        <f t="shared" ref="R11:R17" si="1">O11*Q11</f>
        <v>400</v>
      </c>
      <c r="S11" s="44" t="s">
        <v>45</v>
      </c>
      <c r="T11" s="10" t="s">
        <v>47</v>
      </c>
      <c r="U11" s="22">
        <v>12</v>
      </c>
      <c r="V11" s="22"/>
      <c r="W11" s="8" t="s">
        <v>416</v>
      </c>
      <c r="X11" s="8" t="s">
        <v>33</v>
      </c>
      <c r="Y11" s="8" t="s">
        <v>37</v>
      </c>
      <c r="Z11" s="8" t="s">
        <v>37</v>
      </c>
      <c r="AA11" s="8" t="s">
        <v>133</v>
      </c>
      <c r="AB11" s="8" t="s">
        <v>168</v>
      </c>
      <c r="AC11" s="13" t="s">
        <v>134</v>
      </c>
      <c r="AD11" s="9" t="s">
        <v>135</v>
      </c>
      <c r="AE11" s="46"/>
    </row>
    <row r="12" spans="1:36" ht="99.95" customHeight="1" x14ac:dyDescent="0.2">
      <c r="A12" s="253"/>
      <c r="B12" s="23" t="s">
        <v>129</v>
      </c>
      <c r="C12" s="24" t="s">
        <v>102</v>
      </c>
      <c r="D12" s="7" t="s">
        <v>102</v>
      </c>
      <c r="E12" s="7" t="s">
        <v>59</v>
      </c>
      <c r="F12" s="6" t="s">
        <v>37</v>
      </c>
      <c r="G12" s="6" t="s">
        <v>136</v>
      </c>
      <c r="H12" s="15" t="s">
        <v>70</v>
      </c>
      <c r="I12" s="6" t="s">
        <v>137</v>
      </c>
      <c r="J12" s="8" t="s">
        <v>138</v>
      </c>
      <c r="K12" s="8" t="s">
        <v>139</v>
      </c>
      <c r="L12" s="8" t="s">
        <v>169</v>
      </c>
      <c r="M12" s="140">
        <v>2</v>
      </c>
      <c r="N12" s="42">
        <v>3</v>
      </c>
      <c r="O12" s="44">
        <f t="shared" si="0"/>
        <v>6</v>
      </c>
      <c r="P12" s="44" t="s">
        <v>34</v>
      </c>
      <c r="Q12" s="42">
        <v>60</v>
      </c>
      <c r="R12" s="44">
        <f t="shared" si="1"/>
        <v>360</v>
      </c>
      <c r="S12" s="44" t="s">
        <v>45</v>
      </c>
      <c r="T12" s="10" t="s">
        <v>47</v>
      </c>
      <c r="U12" s="11">
        <v>12</v>
      </c>
      <c r="V12" s="11"/>
      <c r="W12" s="8" t="s">
        <v>137</v>
      </c>
      <c r="X12" s="8" t="s">
        <v>33</v>
      </c>
      <c r="Y12" s="8" t="s">
        <v>37</v>
      </c>
      <c r="Z12" s="8" t="s">
        <v>37</v>
      </c>
      <c r="AA12" s="8" t="s">
        <v>140</v>
      </c>
      <c r="AB12" s="8" t="s">
        <v>44</v>
      </c>
      <c r="AC12" s="13" t="s">
        <v>54</v>
      </c>
      <c r="AD12" s="9" t="s">
        <v>141</v>
      </c>
      <c r="AE12" s="46"/>
    </row>
    <row r="13" spans="1:36" ht="99.95" customHeight="1" x14ac:dyDescent="0.2">
      <c r="A13" s="253"/>
      <c r="B13" s="23" t="s">
        <v>129</v>
      </c>
      <c r="C13" s="24" t="s">
        <v>102</v>
      </c>
      <c r="D13" s="7" t="s">
        <v>102</v>
      </c>
      <c r="E13" s="7" t="s">
        <v>59</v>
      </c>
      <c r="F13" s="6" t="s">
        <v>33</v>
      </c>
      <c r="G13" s="6" t="s">
        <v>101</v>
      </c>
      <c r="H13" s="15" t="s">
        <v>78</v>
      </c>
      <c r="I13" s="6" t="s">
        <v>103</v>
      </c>
      <c r="J13" s="8" t="s">
        <v>142</v>
      </c>
      <c r="K13" s="8" t="s">
        <v>71</v>
      </c>
      <c r="L13" s="8" t="s">
        <v>71</v>
      </c>
      <c r="M13" s="140">
        <v>2</v>
      </c>
      <c r="N13" s="42">
        <v>2</v>
      </c>
      <c r="O13" s="44">
        <f t="shared" si="0"/>
        <v>4</v>
      </c>
      <c r="P13" s="44" t="s">
        <v>39</v>
      </c>
      <c r="Q13" s="42">
        <v>25</v>
      </c>
      <c r="R13" s="44">
        <f t="shared" si="1"/>
        <v>100</v>
      </c>
      <c r="S13" s="44" t="s">
        <v>42</v>
      </c>
      <c r="T13" s="10" t="s">
        <v>43</v>
      </c>
      <c r="U13" s="11">
        <v>12</v>
      </c>
      <c r="V13" s="11"/>
      <c r="W13" s="8" t="s">
        <v>104</v>
      </c>
      <c r="X13" s="8" t="s">
        <v>33</v>
      </c>
      <c r="Y13" s="8" t="s">
        <v>37</v>
      </c>
      <c r="Z13" s="8" t="s">
        <v>37</v>
      </c>
      <c r="AA13" s="8" t="s">
        <v>37</v>
      </c>
      <c r="AB13" s="8" t="s">
        <v>105</v>
      </c>
      <c r="AC13" s="13" t="s">
        <v>54</v>
      </c>
      <c r="AD13" s="9" t="s">
        <v>54</v>
      </c>
      <c r="AE13" s="46"/>
    </row>
    <row r="14" spans="1:36" ht="135.75" customHeight="1" x14ac:dyDescent="0.2">
      <c r="A14" s="253"/>
      <c r="B14" s="23" t="s">
        <v>129</v>
      </c>
      <c r="C14" s="24" t="s">
        <v>102</v>
      </c>
      <c r="D14" s="7" t="s">
        <v>102</v>
      </c>
      <c r="E14" s="7" t="s">
        <v>59</v>
      </c>
      <c r="F14" s="6" t="s">
        <v>33</v>
      </c>
      <c r="G14" s="6" t="s">
        <v>170</v>
      </c>
      <c r="H14" s="15" t="s">
        <v>143</v>
      </c>
      <c r="I14" s="6" t="s">
        <v>106</v>
      </c>
      <c r="J14" s="8" t="s">
        <v>71</v>
      </c>
      <c r="K14" s="8" t="s">
        <v>417</v>
      </c>
      <c r="L14" s="8" t="s">
        <v>71</v>
      </c>
      <c r="M14" s="140">
        <v>2</v>
      </c>
      <c r="N14" s="42">
        <v>3</v>
      </c>
      <c r="O14" s="44">
        <f>M14*N14</f>
        <v>6</v>
      </c>
      <c r="P14" s="44" t="s">
        <v>40</v>
      </c>
      <c r="Q14" s="42">
        <v>60</v>
      </c>
      <c r="R14" s="44">
        <f>O14*Q14</f>
        <v>360</v>
      </c>
      <c r="S14" s="44" t="s">
        <v>35</v>
      </c>
      <c r="T14" s="10" t="s">
        <v>47</v>
      </c>
      <c r="U14" s="11">
        <v>12</v>
      </c>
      <c r="V14" s="11"/>
      <c r="W14" s="8" t="s">
        <v>144</v>
      </c>
      <c r="X14" s="8" t="s">
        <v>33</v>
      </c>
      <c r="Y14" s="8" t="s">
        <v>145</v>
      </c>
      <c r="Z14" s="8" t="s">
        <v>37</v>
      </c>
      <c r="AA14" s="8" t="s">
        <v>171</v>
      </c>
      <c r="AB14" s="8" t="s">
        <v>146</v>
      </c>
      <c r="AC14" s="13" t="s">
        <v>54</v>
      </c>
      <c r="AD14" s="9" t="s">
        <v>54</v>
      </c>
      <c r="AE14" s="46"/>
    </row>
    <row r="15" spans="1:36" ht="99.95" customHeight="1" x14ac:dyDescent="0.2">
      <c r="A15" s="253"/>
      <c r="B15" s="23" t="s">
        <v>210</v>
      </c>
      <c r="C15" s="24" t="s">
        <v>102</v>
      </c>
      <c r="D15" s="7" t="s">
        <v>102</v>
      </c>
      <c r="E15" s="7" t="s">
        <v>59</v>
      </c>
      <c r="F15" s="6" t="s">
        <v>33</v>
      </c>
      <c r="G15" s="6" t="s">
        <v>238</v>
      </c>
      <c r="H15" s="15" t="s">
        <v>147</v>
      </c>
      <c r="I15" s="6" t="s">
        <v>38</v>
      </c>
      <c r="J15" s="8" t="s">
        <v>71</v>
      </c>
      <c r="K15" s="8" t="s">
        <v>148</v>
      </c>
      <c r="L15" s="8" t="s">
        <v>71</v>
      </c>
      <c r="M15" s="140">
        <v>2</v>
      </c>
      <c r="N15" s="42">
        <v>4</v>
      </c>
      <c r="O15" s="44">
        <f>M15*N15</f>
        <v>8</v>
      </c>
      <c r="P15" s="44" t="s">
        <v>34</v>
      </c>
      <c r="Q15" s="42">
        <v>100</v>
      </c>
      <c r="R15" s="44">
        <f>O15*Q15</f>
        <v>800</v>
      </c>
      <c r="S15" s="44" t="s">
        <v>35</v>
      </c>
      <c r="T15" s="10" t="s">
        <v>36</v>
      </c>
      <c r="U15" s="11">
        <v>12</v>
      </c>
      <c r="V15" s="11"/>
      <c r="W15" s="8" t="s">
        <v>38</v>
      </c>
      <c r="X15" s="8" t="s">
        <v>33</v>
      </c>
      <c r="Y15" s="8" t="s">
        <v>37</v>
      </c>
      <c r="Z15" s="8" t="s">
        <v>37</v>
      </c>
      <c r="AA15" s="8" t="s">
        <v>37</v>
      </c>
      <c r="AB15" s="8" t="s">
        <v>107</v>
      </c>
      <c r="AC15" s="13" t="s">
        <v>54</v>
      </c>
      <c r="AD15" s="9" t="s">
        <v>54</v>
      </c>
      <c r="AE15" s="46"/>
    </row>
    <row r="16" spans="1:36" ht="99.95" customHeight="1" x14ac:dyDescent="0.2">
      <c r="A16" s="253"/>
      <c r="B16" s="255" t="s">
        <v>474</v>
      </c>
      <c r="C16" s="256"/>
      <c r="D16" s="256"/>
      <c r="E16" s="257"/>
      <c r="F16" s="6" t="s">
        <v>33</v>
      </c>
      <c r="G16" s="6" t="s">
        <v>172</v>
      </c>
      <c r="H16" s="15" t="s">
        <v>49</v>
      </c>
      <c r="I16" s="6" t="s">
        <v>81</v>
      </c>
      <c r="J16" s="16" t="s">
        <v>85</v>
      </c>
      <c r="K16" s="6" t="s">
        <v>473</v>
      </c>
      <c r="L16" s="6" t="s">
        <v>149</v>
      </c>
      <c r="M16" s="140">
        <v>2</v>
      </c>
      <c r="N16" s="42">
        <v>3</v>
      </c>
      <c r="O16" s="44">
        <f t="shared" si="0"/>
        <v>6</v>
      </c>
      <c r="P16" s="44" t="s">
        <v>34</v>
      </c>
      <c r="Q16" s="42">
        <v>60</v>
      </c>
      <c r="R16" s="44">
        <f t="shared" si="1"/>
        <v>360</v>
      </c>
      <c r="S16" s="44" t="s">
        <v>35</v>
      </c>
      <c r="T16" s="10" t="s">
        <v>36</v>
      </c>
      <c r="U16" s="11">
        <v>12</v>
      </c>
      <c r="V16" s="11"/>
      <c r="W16" s="6" t="s">
        <v>81</v>
      </c>
      <c r="X16" s="8" t="s">
        <v>33</v>
      </c>
      <c r="Y16" s="8" t="s">
        <v>37</v>
      </c>
      <c r="Z16" s="8" t="s">
        <v>37</v>
      </c>
      <c r="AA16" s="8" t="s">
        <v>173</v>
      </c>
      <c r="AB16" s="6" t="s">
        <v>149</v>
      </c>
      <c r="AC16" s="13" t="s">
        <v>54</v>
      </c>
      <c r="AD16" s="9" t="s">
        <v>54</v>
      </c>
      <c r="AE16" s="46"/>
    </row>
    <row r="17" spans="1:31" s="25" customFormat="1" ht="99.95" customHeight="1" x14ac:dyDescent="0.2">
      <c r="A17" s="254"/>
      <c r="B17" s="255" t="s">
        <v>474</v>
      </c>
      <c r="C17" s="256"/>
      <c r="D17" s="256"/>
      <c r="E17" s="257"/>
      <c r="F17" s="6" t="s">
        <v>33</v>
      </c>
      <c r="G17" s="6" t="s">
        <v>418</v>
      </c>
      <c r="H17" s="15" t="s">
        <v>270</v>
      </c>
      <c r="I17" s="6" t="s">
        <v>271</v>
      </c>
      <c r="J17" s="16" t="s">
        <v>272</v>
      </c>
      <c r="K17" s="6" t="s">
        <v>273</v>
      </c>
      <c r="L17" s="6" t="s">
        <v>412</v>
      </c>
      <c r="M17" s="140">
        <v>2</v>
      </c>
      <c r="N17" s="42">
        <v>4</v>
      </c>
      <c r="O17" s="44">
        <f t="shared" si="0"/>
        <v>8</v>
      </c>
      <c r="P17" s="44" t="s">
        <v>34</v>
      </c>
      <c r="Q17" s="42">
        <v>25</v>
      </c>
      <c r="R17" s="44">
        <f t="shared" si="1"/>
        <v>200</v>
      </c>
      <c r="S17" s="44" t="s">
        <v>35</v>
      </c>
      <c r="T17" s="10" t="s">
        <v>43</v>
      </c>
      <c r="U17" s="11">
        <v>9</v>
      </c>
      <c r="V17" s="11">
        <v>11</v>
      </c>
      <c r="W17" s="6" t="s">
        <v>413</v>
      </c>
      <c r="X17" s="8"/>
      <c r="Y17" s="8" t="s">
        <v>37</v>
      </c>
      <c r="Z17" s="8" t="s">
        <v>37</v>
      </c>
      <c r="AA17" s="8" t="s">
        <v>37</v>
      </c>
      <c r="AB17" s="6" t="s">
        <v>415</v>
      </c>
      <c r="AC17" s="13" t="s">
        <v>414</v>
      </c>
      <c r="AD17" s="9" t="s">
        <v>277</v>
      </c>
      <c r="AE17" s="48"/>
    </row>
  </sheetData>
  <mergeCells count="24">
    <mergeCell ref="A10:A17"/>
    <mergeCell ref="B16:E16"/>
    <mergeCell ref="B17:E17"/>
    <mergeCell ref="A6:E6"/>
    <mergeCell ref="B8:B9"/>
    <mergeCell ref="A8:A9"/>
    <mergeCell ref="A7:AE7"/>
    <mergeCell ref="Y8:AE8"/>
    <mergeCell ref="G8:H8"/>
    <mergeCell ref="E8:E9"/>
    <mergeCell ref="F8:F9"/>
    <mergeCell ref="F6:AC6"/>
    <mergeCell ref="D8:D9"/>
    <mergeCell ref="C8:C9"/>
    <mergeCell ref="M8:S8"/>
    <mergeCell ref="U8:X8"/>
    <mergeCell ref="I8:I9"/>
    <mergeCell ref="J8:L8"/>
    <mergeCell ref="AC1:AC2"/>
    <mergeCell ref="C3:AB4"/>
    <mergeCell ref="AC3:AC4"/>
    <mergeCell ref="A5:AC5"/>
    <mergeCell ref="A1:B4"/>
    <mergeCell ref="C1:AB2"/>
  </mergeCells>
  <conditionalFormatting sqref="M10:M17">
    <cfRule type="cellIs" dxfId="25" priority="13" stopIfTrue="1" operator="equal">
      <formula>10</formula>
    </cfRule>
    <cfRule type="cellIs" dxfId="24" priority="14" stopIfTrue="1" operator="equal">
      <formula>6</formula>
    </cfRule>
    <cfRule type="cellIs" dxfId="23" priority="15" stopIfTrue="1" operator="equal">
      <formula>2</formula>
    </cfRule>
    <cfRule type="cellIs" dxfId="22" priority="16" stopIfTrue="1" operator="equal">
      <formula>0</formula>
    </cfRule>
  </conditionalFormatting>
  <conditionalFormatting sqref="N10:N17">
    <cfRule type="cellIs" dxfId="21" priority="17" stopIfTrue="1" operator="equal">
      <formula>4</formula>
    </cfRule>
    <cfRule type="cellIs" dxfId="20" priority="18" stopIfTrue="1" operator="equal">
      <formula>3</formula>
    </cfRule>
    <cfRule type="cellIs" dxfId="19" priority="19" stopIfTrue="1" operator="equal">
      <formula>2</formula>
    </cfRule>
    <cfRule type="cellIs" dxfId="18" priority="20" stopIfTrue="1" operator="equal">
      <formula>1</formula>
    </cfRule>
  </conditionalFormatting>
  <conditionalFormatting sqref="O10:O17">
    <cfRule type="cellIs" dxfId="17" priority="1" stopIfTrue="1" operator="between">
      <formula>24</formula>
      <formula>40</formula>
    </cfRule>
    <cfRule type="cellIs" dxfId="16" priority="2" stopIfTrue="1" operator="between">
      <formula>10</formula>
      <formula>20</formula>
    </cfRule>
    <cfRule type="cellIs" dxfId="15" priority="3" stopIfTrue="1" operator="between">
      <formula>6</formula>
      <formula>8</formula>
    </cfRule>
    <cfRule type="cellIs" dxfId="14" priority="4" stopIfTrue="1" operator="between">
      <formula>2</formula>
      <formula>4</formula>
    </cfRule>
  </conditionalFormatting>
  <conditionalFormatting sqref="P10:P17">
    <cfRule type="expression" dxfId="13" priority="21" stopIfTrue="1">
      <formula>LEFT(P10,LEN("MUY ALTO"))="MUY ALTO"</formula>
    </cfRule>
    <cfRule type="expression" dxfId="12" priority="22" stopIfTrue="1">
      <formula>LEFT(P10,LEN("ALTO"))="ALTO"</formula>
    </cfRule>
    <cfRule type="expression" dxfId="11" priority="23" stopIfTrue="1">
      <formula>LEFT(P10,LEN("MEDIO"))="MEDIO"</formula>
    </cfRule>
  </conditionalFormatting>
  <conditionalFormatting sqref="Q10:Q17">
    <cfRule type="cellIs" dxfId="10" priority="5" stopIfTrue="1" operator="greaterThanOrEqual">
      <formula>100</formula>
    </cfRule>
    <cfRule type="cellIs" dxfId="9" priority="6" stopIfTrue="1" operator="between">
      <formula>60</formula>
      <formula>99</formula>
    </cfRule>
    <cfRule type="cellIs" dxfId="8" priority="7" stopIfTrue="1" operator="between">
      <formula>25</formula>
      <formula>59</formula>
    </cfRule>
    <cfRule type="cellIs" dxfId="7" priority="8" stopIfTrue="1" operator="between">
      <formula>0</formula>
      <formula>10</formula>
    </cfRule>
  </conditionalFormatting>
  <conditionalFormatting sqref="R10:R17">
    <cfRule type="cellIs" dxfId="6" priority="9" stopIfTrue="1" operator="between">
      <formula>600</formula>
      <formula>4000</formula>
    </cfRule>
    <cfRule type="cellIs" dxfId="5" priority="10" stopIfTrue="1" operator="between">
      <formula>150</formula>
      <formula>500</formula>
    </cfRule>
    <cfRule type="cellIs" dxfId="4" priority="11" stopIfTrue="1" operator="between">
      <formula>40</formula>
      <formula>120</formula>
    </cfRule>
    <cfRule type="cellIs" dxfId="3" priority="12" stopIfTrue="1" operator="between">
      <formula>0</formula>
      <formula>20</formula>
    </cfRule>
  </conditionalFormatting>
  <conditionalFormatting sqref="S10:S17">
    <cfRule type="expression" dxfId="2" priority="24" stopIfTrue="1">
      <formula>LEFT(S10,LEN("Situación"))="Situación"</formula>
    </cfRule>
    <cfRule type="expression" dxfId="1" priority="25" stopIfTrue="1">
      <formula>LEFT(S10,LEN("Corregir"))="Corregir"</formula>
    </cfRule>
    <cfRule type="expression" dxfId="0" priority="26" stopIfTrue="1">
      <formula>LEFT(S10,LEN("Mejorar"))="Mejorar"</formula>
    </cfRule>
  </conditionalFormatting>
  <pageMargins left="0.23622047244094491" right="0.23622047244094491" top="0.74803149606299213" bottom="0.74803149606299213" header="0.31496062992125984" footer="0.31496062992125984"/>
  <pageSetup paperSize="9" scale="25"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B1:H13"/>
  <sheetViews>
    <sheetView tabSelected="1" workbookViewId="0">
      <selection activeCell="B1" sqref="B1:H13"/>
    </sheetView>
  </sheetViews>
  <sheetFormatPr baseColWidth="10" defaultRowHeight="12.75" x14ac:dyDescent="0.2"/>
  <cols>
    <col min="1" max="1" width="4.5703125" customWidth="1"/>
    <col min="2" max="6" width="15.7109375" customWidth="1"/>
    <col min="7" max="7" width="22.140625" customWidth="1"/>
    <col min="8" max="8" width="15.7109375" customWidth="1"/>
  </cols>
  <sheetData>
    <row r="1" spans="2:8" x14ac:dyDescent="0.2">
      <c r="B1" s="265"/>
      <c r="C1" s="265"/>
      <c r="D1" s="265"/>
      <c r="E1" s="265"/>
      <c r="F1" s="265"/>
      <c r="G1" s="265"/>
      <c r="H1" s="266"/>
    </row>
    <row r="2" spans="2:8" ht="13.5" thickBot="1" x14ac:dyDescent="0.25">
      <c r="B2" s="267"/>
      <c r="C2" s="267"/>
      <c r="D2" s="267"/>
      <c r="E2" s="267"/>
      <c r="F2" s="267"/>
      <c r="G2" s="267"/>
      <c r="H2" s="268"/>
    </row>
    <row r="3" spans="2:8" ht="13.5" thickBot="1" x14ac:dyDescent="0.25">
      <c r="B3" s="141"/>
      <c r="C3" s="141"/>
      <c r="D3" s="141"/>
      <c r="E3" s="141"/>
      <c r="F3" s="141"/>
      <c r="G3" s="141"/>
      <c r="H3" s="141"/>
    </row>
    <row r="4" spans="2:8" ht="39" customHeight="1" thickTop="1" x14ac:dyDescent="0.2">
      <c r="B4" s="269" t="s">
        <v>471</v>
      </c>
      <c r="C4" s="270"/>
      <c r="D4" s="270"/>
      <c r="E4" s="270"/>
      <c r="F4" s="270"/>
      <c r="G4" s="270"/>
      <c r="H4" s="270"/>
    </row>
    <row r="5" spans="2:8" ht="39" customHeight="1" x14ac:dyDescent="0.2">
      <c r="B5" s="142" t="s">
        <v>419</v>
      </c>
      <c r="C5" s="142" t="s">
        <v>420</v>
      </c>
      <c r="D5" s="142" t="s">
        <v>421</v>
      </c>
      <c r="E5" s="142" t="s">
        <v>422</v>
      </c>
      <c r="F5" s="142" t="s">
        <v>423</v>
      </c>
      <c r="G5" s="143" t="s">
        <v>458</v>
      </c>
      <c r="H5" s="143" t="s">
        <v>465</v>
      </c>
    </row>
    <row r="6" spans="2:8" ht="213.75" x14ac:dyDescent="0.2">
      <c r="B6" s="144" t="s">
        <v>424</v>
      </c>
      <c r="C6" s="145" t="s">
        <v>425</v>
      </c>
      <c r="D6" s="145" t="s">
        <v>426</v>
      </c>
      <c r="E6" s="145" t="s">
        <v>427</v>
      </c>
      <c r="F6" s="145" t="s">
        <v>428</v>
      </c>
      <c r="G6" s="145" t="s">
        <v>429</v>
      </c>
      <c r="H6" s="145" t="s">
        <v>430</v>
      </c>
    </row>
    <row r="7" spans="2:8" ht="185.25" x14ac:dyDescent="0.2">
      <c r="B7" s="144" t="s">
        <v>431</v>
      </c>
      <c r="C7" s="145" t="s">
        <v>432</v>
      </c>
      <c r="D7" s="145" t="s">
        <v>433</v>
      </c>
      <c r="E7" s="145" t="s">
        <v>434</v>
      </c>
      <c r="F7" s="145" t="s">
        <v>435</v>
      </c>
      <c r="G7" s="145" t="s">
        <v>436</v>
      </c>
      <c r="H7" s="145" t="s">
        <v>437</v>
      </c>
    </row>
    <row r="8" spans="2:8" ht="142.5" x14ac:dyDescent="0.2">
      <c r="B8" s="144" t="s">
        <v>438</v>
      </c>
      <c r="C8" s="145" t="s">
        <v>439</v>
      </c>
      <c r="D8" s="145" t="s">
        <v>440</v>
      </c>
      <c r="E8" s="145" t="s">
        <v>441</v>
      </c>
      <c r="F8" s="145" t="s">
        <v>442</v>
      </c>
      <c r="G8" s="145" t="s">
        <v>443</v>
      </c>
      <c r="H8" s="145" t="s">
        <v>444</v>
      </c>
    </row>
    <row r="9" spans="2:8" ht="185.25" x14ac:dyDescent="0.2">
      <c r="B9" s="144" t="s">
        <v>445</v>
      </c>
      <c r="C9" s="145" t="s">
        <v>446</v>
      </c>
      <c r="D9" s="144" t="s">
        <v>447</v>
      </c>
      <c r="E9" s="145" t="s">
        <v>448</v>
      </c>
      <c r="F9" s="145" t="s">
        <v>449</v>
      </c>
      <c r="G9" s="145" t="s">
        <v>450</v>
      </c>
      <c r="H9" s="145" t="s">
        <v>451</v>
      </c>
    </row>
    <row r="10" spans="2:8" ht="228" x14ac:dyDescent="0.2">
      <c r="B10" s="144" t="s">
        <v>452</v>
      </c>
      <c r="C10" s="145" t="s">
        <v>453</v>
      </c>
      <c r="D10" s="145" t="s">
        <v>454</v>
      </c>
      <c r="E10" s="145" t="s">
        <v>455</v>
      </c>
      <c r="F10" s="144"/>
      <c r="G10" s="145" t="s">
        <v>456</v>
      </c>
      <c r="H10" s="145" t="s">
        <v>457</v>
      </c>
    </row>
    <row r="11" spans="2:8" ht="114" x14ac:dyDescent="0.2">
      <c r="B11" s="144" t="s">
        <v>459</v>
      </c>
      <c r="C11" s="145" t="s">
        <v>460</v>
      </c>
      <c r="D11" s="145" t="s">
        <v>461</v>
      </c>
      <c r="E11" s="145" t="s">
        <v>462</v>
      </c>
      <c r="F11" s="144"/>
      <c r="G11" s="145" t="s">
        <v>463</v>
      </c>
      <c r="H11" s="145" t="s">
        <v>464</v>
      </c>
    </row>
    <row r="12" spans="2:8" ht="71.25" x14ac:dyDescent="0.2">
      <c r="B12" s="144" t="s">
        <v>466</v>
      </c>
      <c r="C12" s="145" t="s">
        <v>467</v>
      </c>
      <c r="D12" s="144"/>
      <c r="E12" s="144"/>
      <c r="F12" s="144"/>
      <c r="G12" s="145" t="s">
        <v>468</v>
      </c>
      <c r="H12" s="144"/>
    </row>
    <row r="13" spans="2:8" ht="14.25" x14ac:dyDescent="0.2">
      <c r="B13" s="144" t="s">
        <v>469</v>
      </c>
      <c r="C13" s="144"/>
      <c r="D13" s="144"/>
      <c r="E13" s="144"/>
      <c r="F13" s="144"/>
      <c r="G13" s="145" t="s">
        <v>470</v>
      </c>
      <c r="H13" s="144"/>
    </row>
  </sheetData>
  <mergeCells count="2">
    <mergeCell ref="B1:H2"/>
    <mergeCell ref="B4:H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2:F67"/>
  <sheetViews>
    <sheetView workbookViewId="0">
      <selection activeCell="A2" sqref="A2:F67"/>
    </sheetView>
  </sheetViews>
  <sheetFormatPr baseColWidth="10" defaultRowHeight="12.75" x14ac:dyDescent="0.2"/>
  <cols>
    <col min="1" max="1" width="27.140625" customWidth="1"/>
    <col min="2" max="2" width="17.42578125" style="25" customWidth="1"/>
    <col min="3" max="6" width="15.7109375" customWidth="1"/>
  </cols>
  <sheetData>
    <row r="2" spans="1:6" ht="15" x14ac:dyDescent="0.25">
      <c r="A2" s="26" t="s">
        <v>279</v>
      </c>
      <c r="B2" s="27"/>
      <c r="C2" s="1"/>
      <c r="D2" s="1"/>
      <c r="E2" s="1"/>
      <c r="F2" s="1"/>
    </row>
    <row r="3" spans="1:6" x14ac:dyDescent="0.2">
      <c r="A3" s="1"/>
      <c r="B3" s="27"/>
      <c r="C3" s="1"/>
      <c r="D3" s="1"/>
      <c r="E3" s="1"/>
      <c r="F3" s="1"/>
    </row>
    <row r="4" spans="1:6" ht="15" x14ac:dyDescent="0.25">
      <c r="A4" s="28" t="s">
        <v>280</v>
      </c>
      <c r="B4" s="28" t="s">
        <v>281</v>
      </c>
      <c r="C4" s="295" t="s">
        <v>282</v>
      </c>
      <c r="D4" s="295"/>
      <c r="E4" s="295"/>
      <c r="F4" s="295"/>
    </row>
    <row r="5" spans="1:6" ht="60" customHeight="1" x14ac:dyDescent="0.2">
      <c r="A5" s="29" t="s">
        <v>283</v>
      </c>
      <c r="B5" s="29">
        <v>10</v>
      </c>
      <c r="C5" s="283" t="s">
        <v>284</v>
      </c>
      <c r="D5" s="283"/>
      <c r="E5" s="283"/>
      <c r="F5" s="283"/>
    </row>
    <row r="6" spans="1:6" ht="60" customHeight="1" x14ac:dyDescent="0.2">
      <c r="A6" s="29" t="s">
        <v>285</v>
      </c>
      <c r="B6" s="29">
        <v>6</v>
      </c>
      <c r="C6" s="283" t="s">
        <v>286</v>
      </c>
      <c r="D6" s="283"/>
      <c r="E6" s="283"/>
      <c r="F6" s="283"/>
    </row>
    <row r="7" spans="1:6" ht="60" customHeight="1" x14ac:dyDescent="0.2">
      <c r="A7" s="29" t="s">
        <v>287</v>
      </c>
      <c r="B7" s="29">
        <v>2</v>
      </c>
      <c r="C7" s="283" t="s">
        <v>288</v>
      </c>
      <c r="D7" s="283"/>
      <c r="E7" s="283"/>
      <c r="F7" s="283"/>
    </row>
    <row r="8" spans="1:6" ht="60" customHeight="1" x14ac:dyDescent="0.2">
      <c r="A8" s="29" t="s">
        <v>289</v>
      </c>
      <c r="B8" s="29" t="s">
        <v>290</v>
      </c>
      <c r="C8" s="283" t="s">
        <v>291</v>
      </c>
      <c r="D8" s="283"/>
      <c r="E8" s="283"/>
      <c r="F8" s="283"/>
    </row>
    <row r="10" spans="1:6" ht="15" x14ac:dyDescent="0.25">
      <c r="A10" s="26" t="s">
        <v>292</v>
      </c>
      <c r="B10" s="27"/>
      <c r="C10" s="1"/>
      <c r="D10" s="1"/>
      <c r="E10" s="1"/>
      <c r="F10" s="1"/>
    </row>
    <row r="11" spans="1:6" ht="15" x14ac:dyDescent="0.25">
      <c r="A11" s="26"/>
      <c r="B11" s="27"/>
      <c r="C11" s="1"/>
      <c r="D11" s="1"/>
      <c r="E11" s="1"/>
      <c r="F11" s="1"/>
    </row>
    <row r="12" spans="1:6" ht="15" x14ac:dyDescent="0.25">
      <c r="A12" s="28" t="s">
        <v>293</v>
      </c>
      <c r="B12" s="28" t="s">
        <v>294</v>
      </c>
      <c r="C12" s="292" t="s">
        <v>282</v>
      </c>
      <c r="D12" s="293"/>
      <c r="E12" s="293"/>
      <c r="F12" s="294"/>
    </row>
    <row r="13" spans="1:6" s="14" customFormat="1" ht="60" customHeight="1" x14ac:dyDescent="0.2">
      <c r="A13" s="30" t="s">
        <v>295</v>
      </c>
      <c r="B13" s="29">
        <v>4</v>
      </c>
      <c r="C13" s="283" t="s">
        <v>296</v>
      </c>
      <c r="D13" s="283"/>
      <c r="E13" s="283"/>
      <c r="F13" s="283"/>
    </row>
    <row r="14" spans="1:6" s="14" customFormat="1" ht="60" customHeight="1" x14ac:dyDescent="0.2">
      <c r="A14" s="30" t="s">
        <v>297</v>
      </c>
      <c r="B14" s="29">
        <v>3</v>
      </c>
      <c r="C14" s="283" t="s">
        <v>298</v>
      </c>
      <c r="D14" s="283"/>
      <c r="E14" s="283"/>
      <c r="F14" s="283"/>
    </row>
    <row r="15" spans="1:6" s="14" customFormat="1" ht="60" customHeight="1" x14ac:dyDescent="0.2">
      <c r="A15" s="30" t="s">
        <v>299</v>
      </c>
      <c r="B15" s="29">
        <v>2</v>
      </c>
      <c r="C15" s="283" t="s">
        <v>300</v>
      </c>
      <c r="D15" s="283"/>
      <c r="E15" s="283"/>
      <c r="F15" s="283"/>
    </row>
    <row r="16" spans="1:6" s="14" customFormat="1" ht="60" customHeight="1" x14ac:dyDescent="0.2">
      <c r="A16" s="30" t="s">
        <v>301</v>
      </c>
      <c r="B16" s="29">
        <v>1</v>
      </c>
      <c r="C16" s="283" t="s">
        <v>302</v>
      </c>
      <c r="D16" s="283"/>
      <c r="E16" s="283"/>
      <c r="F16" s="283"/>
    </row>
    <row r="18" spans="1:6" ht="15" x14ac:dyDescent="0.25">
      <c r="A18" s="26" t="s">
        <v>303</v>
      </c>
      <c r="B18" s="27"/>
      <c r="C18" s="1"/>
      <c r="D18" s="1"/>
      <c r="E18" s="1"/>
      <c r="F18" s="1"/>
    </row>
    <row r="19" spans="1:6" x14ac:dyDescent="0.2">
      <c r="A19" s="1"/>
      <c r="B19" s="27"/>
      <c r="C19" s="1"/>
      <c r="D19" s="1"/>
      <c r="E19" s="1"/>
      <c r="F19" s="1"/>
    </row>
    <row r="20" spans="1:6" s="14" customFormat="1" ht="20.100000000000001" customHeight="1" x14ac:dyDescent="0.2">
      <c r="A20" s="288" t="s">
        <v>304</v>
      </c>
      <c r="B20" s="289"/>
      <c r="C20" s="284" t="s">
        <v>305</v>
      </c>
      <c r="D20" s="284"/>
      <c r="E20" s="284"/>
      <c r="F20" s="284"/>
    </row>
    <row r="21" spans="1:6" s="14" customFormat="1" ht="20.100000000000001" customHeight="1" x14ac:dyDescent="0.2">
      <c r="A21" s="290"/>
      <c r="B21" s="291"/>
      <c r="C21" s="31">
        <v>4</v>
      </c>
      <c r="D21" s="31">
        <v>3</v>
      </c>
      <c r="E21" s="31">
        <v>2</v>
      </c>
      <c r="F21" s="31">
        <v>1</v>
      </c>
    </row>
    <row r="22" spans="1:6" s="14" customFormat="1" ht="20.100000000000001" customHeight="1" x14ac:dyDescent="0.2">
      <c r="A22" s="278" t="s">
        <v>306</v>
      </c>
      <c r="B22" s="31">
        <v>10</v>
      </c>
      <c r="C22" s="32" t="s">
        <v>307</v>
      </c>
      <c r="D22" s="32" t="s">
        <v>308</v>
      </c>
      <c r="E22" s="33" t="s">
        <v>309</v>
      </c>
      <c r="F22" s="33" t="s">
        <v>310</v>
      </c>
    </row>
    <row r="23" spans="1:6" s="14" customFormat="1" ht="20.100000000000001" customHeight="1" x14ac:dyDescent="0.2">
      <c r="A23" s="278"/>
      <c r="B23" s="31">
        <v>6</v>
      </c>
      <c r="C23" s="32" t="s">
        <v>311</v>
      </c>
      <c r="D23" s="33" t="s">
        <v>312</v>
      </c>
      <c r="E23" s="33" t="s">
        <v>313</v>
      </c>
      <c r="F23" s="34" t="s">
        <v>314</v>
      </c>
    </row>
    <row r="24" spans="1:6" s="14" customFormat="1" ht="20.100000000000001" customHeight="1" x14ac:dyDescent="0.2">
      <c r="A24" s="278"/>
      <c r="B24" s="31">
        <v>2</v>
      </c>
      <c r="C24" s="34" t="s">
        <v>315</v>
      </c>
      <c r="D24" s="34" t="s">
        <v>314</v>
      </c>
      <c r="E24" s="31" t="s">
        <v>316</v>
      </c>
      <c r="F24" s="31" t="s">
        <v>317</v>
      </c>
    </row>
    <row r="26" spans="1:6" ht="15" x14ac:dyDescent="0.25">
      <c r="A26" s="26" t="s">
        <v>318</v>
      </c>
      <c r="B26" s="27"/>
      <c r="C26" s="1"/>
      <c r="D26" s="1"/>
      <c r="E26" s="1"/>
      <c r="F26" s="1"/>
    </row>
    <row r="27" spans="1:6" x14ac:dyDescent="0.2">
      <c r="A27" s="1"/>
      <c r="B27" s="27"/>
      <c r="C27" s="1"/>
      <c r="D27" s="1"/>
      <c r="E27" s="1"/>
      <c r="F27" s="1"/>
    </row>
    <row r="28" spans="1:6" ht="15" x14ac:dyDescent="0.25">
      <c r="A28" s="28" t="s">
        <v>280</v>
      </c>
      <c r="B28" s="28" t="s">
        <v>281</v>
      </c>
      <c r="C28" s="292" t="s">
        <v>282</v>
      </c>
      <c r="D28" s="293"/>
      <c r="E28" s="293"/>
      <c r="F28" s="294"/>
    </row>
    <row r="29" spans="1:6" ht="60" customHeight="1" x14ac:dyDescent="0.2">
      <c r="A29" s="29" t="s">
        <v>283</v>
      </c>
      <c r="B29" s="29" t="s">
        <v>319</v>
      </c>
      <c r="C29" s="283" t="s">
        <v>320</v>
      </c>
      <c r="D29" s="283"/>
      <c r="E29" s="283"/>
      <c r="F29" s="283"/>
    </row>
    <row r="30" spans="1:6" ht="60" customHeight="1" x14ac:dyDescent="0.2">
      <c r="A30" s="29" t="s">
        <v>285</v>
      </c>
      <c r="B30" s="29" t="s">
        <v>321</v>
      </c>
      <c r="C30" s="283" t="s">
        <v>322</v>
      </c>
      <c r="D30" s="283"/>
      <c r="E30" s="283"/>
      <c r="F30" s="283"/>
    </row>
    <row r="31" spans="1:6" ht="60" customHeight="1" x14ac:dyDescent="0.2">
      <c r="A31" s="29" t="s">
        <v>287</v>
      </c>
      <c r="B31" s="29" t="s">
        <v>323</v>
      </c>
      <c r="C31" s="283" t="s">
        <v>324</v>
      </c>
      <c r="D31" s="283"/>
      <c r="E31" s="283"/>
      <c r="F31" s="283"/>
    </row>
    <row r="32" spans="1:6" ht="60" customHeight="1" x14ac:dyDescent="0.2">
      <c r="A32" s="29" t="s">
        <v>289</v>
      </c>
      <c r="B32" s="29" t="s">
        <v>325</v>
      </c>
      <c r="C32" s="283" t="s">
        <v>326</v>
      </c>
      <c r="D32" s="283"/>
      <c r="E32" s="283"/>
      <c r="F32" s="283"/>
    </row>
    <row r="34" spans="1:6" ht="15" x14ac:dyDescent="0.25">
      <c r="A34" s="26" t="s">
        <v>327</v>
      </c>
      <c r="B34" s="27"/>
      <c r="C34" s="1"/>
      <c r="D34" s="1"/>
      <c r="E34" s="1"/>
      <c r="F34" s="1"/>
    </row>
    <row r="35" spans="1:6" x14ac:dyDescent="0.2">
      <c r="A35" s="1"/>
      <c r="B35" s="27"/>
      <c r="C35" s="1"/>
      <c r="D35" s="1"/>
      <c r="E35" s="1"/>
      <c r="F35" s="1"/>
    </row>
    <row r="36" spans="1:6" s="14" customFormat="1" ht="30" customHeight="1" x14ac:dyDescent="0.2">
      <c r="A36" s="35" t="s">
        <v>328</v>
      </c>
      <c r="B36" s="35" t="s">
        <v>21</v>
      </c>
      <c r="C36" s="285" t="s">
        <v>329</v>
      </c>
      <c r="D36" s="286"/>
      <c r="E36" s="286"/>
      <c r="F36" s="287"/>
    </row>
    <row r="37" spans="1:6" ht="30" customHeight="1" x14ac:dyDescent="0.2">
      <c r="A37" s="29" t="s">
        <v>330</v>
      </c>
      <c r="B37" s="29">
        <v>100</v>
      </c>
      <c r="C37" s="283" t="s">
        <v>331</v>
      </c>
      <c r="D37" s="283"/>
      <c r="E37" s="283"/>
      <c r="F37" s="283"/>
    </row>
    <row r="38" spans="1:6" ht="30" customHeight="1" x14ac:dyDescent="0.2">
      <c r="A38" s="29" t="s">
        <v>332</v>
      </c>
      <c r="B38" s="29">
        <v>60</v>
      </c>
      <c r="C38" s="283" t="s">
        <v>333</v>
      </c>
      <c r="D38" s="283"/>
      <c r="E38" s="283"/>
      <c r="F38" s="283"/>
    </row>
    <row r="39" spans="1:6" ht="30" customHeight="1" x14ac:dyDescent="0.2">
      <c r="A39" s="29" t="s">
        <v>334</v>
      </c>
      <c r="B39" s="29">
        <v>25</v>
      </c>
      <c r="C39" s="283" t="s">
        <v>335</v>
      </c>
      <c r="D39" s="283"/>
      <c r="E39" s="283"/>
      <c r="F39" s="283"/>
    </row>
    <row r="40" spans="1:6" ht="30" customHeight="1" x14ac:dyDescent="0.2">
      <c r="A40" s="29" t="s">
        <v>336</v>
      </c>
      <c r="B40" s="29">
        <v>10</v>
      </c>
      <c r="C40" s="283" t="s">
        <v>337</v>
      </c>
      <c r="D40" s="283"/>
      <c r="E40" s="283"/>
      <c r="F40" s="283"/>
    </row>
    <row r="42" spans="1:6" ht="15" x14ac:dyDescent="0.25">
      <c r="A42" s="26" t="s">
        <v>338</v>
      </c>
      <c r="B42" s="27"/>
      <c r="C42" s="1"/>
      <c r="D42" s="1"/>
      <c r="E42" s="1"/>
      <c r="F42" s="1"/>
    </row>
    <row r="43" spans="1:6" x14ac:dyDescent="0.2">
      <c r="A43" s="1"/>
      <c r="B43" s="27"/>
      <c r="C43" s="1"/>
      <c r="D43" s="1"/>
      <c r="E43" s="1"/>
      <c r="F43" s="1"/>
    </row>
    <row r="44" spans="1:6" ht="15" x14ac:dyDescent="0.2">
      <c r="A44" s="278" t="s">
        <v>339</v>
      </c>
      <c r="B44" s="284"/>
      <c r="C44" s="284" t="s">
        <v>304</v>
      </c>
      <c r="D44" s="284"/>
      <c r="E44" s="284"/>
      <c r="F44" s="284"/>
    </row>
    <row r="45" spans="1:6" ht="15" x14ac:dyDescent="0.2">
      <c r="A45" s="284"/>
      <c r="B45" s="284"/>
      <c r="C45" s="31" t="s">
        <v>340</v>
      </c>
      <c r="D45" s="31" t="s">
        <v>341</v>
      </c>
      <c r="E45" s="36" t="s">
        <v>342</v>
      </c>
      <c r="F45" s="36" t="s">
        <v>343</v>
      </c>
    </row>
    <row r="46" spans="1:6" ht="50.1" customHeight="1" x14ac:dyDescent="0.2">
      <c r="A46" s="278" t="s">
        <v>344</v>
      </c>
      <c r="B46" s="31">
        <v>100</v>
      </c>
      <c r="C46" s="37" t="s">
        <v>345</v>
      </c>
      <c r="D46" s="37" t="s">
        <v>346</v>
      </c>
      <c r="E46" s="37" t="s">
        <v>347</v>
      </c>
      <c r="F46" s="38" t="s">
        <v>348</v>
      </c>
    </row>
    <row r="47" spans="1:6" ht="24.95" customHeight="1" x14ac:dyDescent="0.2">
      <c r="A47" s="278"/>
      <c r="B47" s="279">
        <v>60</v>
      </c>
      <c r="C47" s="280" t="s">
        <v>349</v>
      </c>
      <c r="D47" s="280" t="s">
        <v>350</v>
      </c>
      <c r="E47" s="281" t="s">
        <v>351</v>
      </c>
      <c r="F47" s="38" t="s">
        <v>352</v>
      </c>
    </row>
    <row r="48" spans="1:6" ht="24.95" customHeight="1" x14ac:dyDescent="0.2">
      <c r="A48" s="278"/>
      <c r="B48" s="279"/>
      <c r="C48" s="280"/>
      <c r="D48" s="280"/>
      <c r="E48" s="281"/>
      <c r="F48" s="129" t="s">
        <v>353</v>
      </c>
    </row>
    <row r="49" spans="1:6" ht="50.1" customHeight="1" x14ac:dyDescent="0.2">
      <c r="A49" s="278"/>
      <c r="B49" s="31">
        <v>25</v>
      </c>
      <c r="C49" s="37" t="s">
        <v>354</v>
      </c>
      <c r="D49" s="38" t="s">
        <v>355</v>
      </c>
      <c r="E49" s="38" t="s">
        <v>356</v>
      </c>
      <c r="F49" s="129" t="s">
        <v>357</v>
      </c>
    </row>
    <row r="50" spans="1:6" ht="24.95" customHeight="1" x14ac:dyDescent="0.2">
      <c r="A50" s="278"/>
      <c r="B50" s="279">
        <v>10</v>
      </c>
      <c r="C50" s="281" t="s">
        <v>358</v>
      </c>
      <c r="D50" s="38" t="s">
        <v>352</v>
      </c>
      <c r="E50" s="282" t="s">
        <v>359</v>
      </c>
      <c r="F50" s="129" t="s">
        <v>360</v>
      </c>
    </row>
    <row r="51" spans="1:6" ht="24.95" customHeight="1" x14ac:dyDescent="0.2">
      <c r="A51" s="278"/>
      <c r="B51" s="279"/>
      <c r="C51" s="281"/>
      <c r="D51" s="129" t="s">
        <v>361</v>
      </c>
      <c r="E51" s="282"/>
      <c r="F51" s="129" t="s">
        <v>362</v>
      </c>
    </row>
    <row r="53" spans="1:6" ht="15" x14ac:dyDescent="0.25">
      <c r="A53" s="26" t="s">
        <v>363</v>
      </c>
      <c r="B53" s="27"/>
      <c r="C53" s="1"/>
      <c r="D53" s="1"/>
      <c r="E53" s="1"/>
      <c r="F53" s="1"/>
    </row>
    <row r="54" spans="1:6" x14ac:dyDescent="0.2">
      <c r="A54" s="1"/>
      <c r="B54" s="27"/>
      <c r="C54" s="1"/>
      <c r="D54" s="1"/>
      <c r="E54" s="1"/>
      <c r="F54" s="1"/>
    </row>
    <row r="55" spans="1:6" ht="39.950000000000003" customHeight="1" x14ac:dyDescent="0.2">
      <c r="A55" s="39" t="s">
        <v>364</v>
      </c>
      <c r="B55" s="39" t="s">
        <v>365</v>
      </c>
      <c r="C55" s="272" t="s">
        <v>329</v>
      </c>
      <c r="D55" s="273"/>
      <c r="E55" s="273"/>
      <c r="F55" s="274"/>
    </row>
    <row r="56" spans="1:6" ht="39.950000000000003" customHeight="1" x14ac:dyDescent="0.2">
      <c r="A56" s="31" t="s">
        <v>366</v>
      </c>
      <c r="B56" s="31" t="s">
        <v>367</v>
      </c>
      <c r="C56" s="275" t="s">
        <v>368</v>
      </c>
      <c r="D56" s="275"/>
      <c r="E56" s="275"/>
      <c r="F56" s="275"/>
    </row>
    <row r="57" spans="1:6" ht="39.950000000000003" customHeight="1" x14ac:dyDescent="0.2">
      <c r="A57" s="31" t="s">
        <v>369</v>
      </c>
      <c r="B57" s="31" t="s">
        <v>370</v>
      </c>
      <c r="C57" s="275" t="s">
        <v>371</v>
      </c>
      <c r="D57" s="275"/>
      <c r="E57" s="275"/>
      <c r="F57" s="275"/>
    </row>
    <row r="58" spans="1:6" ht="39.950000000000003" customHeight="1" x14ac:dyDescent="0.2">
      <c r="A58" s="31" t="s">
        <v>372</v>
      </c>
      <c r="B58" s="31" t="s">
        <v>373</v>
      </c>
      <c r="C58" s="275" t="s">
        <v>374</v>
      </c>
      <c r="D58" s="275"/>
      <c r="E58" s="275"/>
      <c r="F58" s="275"/>
    </row>
    <row r="59" spans="1:6" ht="39.950000000000003" customHeight="1" x14ac:dyDescent="0.2">
      <c r="A59" s="31" t="s">
        <v>375</v>
      </c>
      <c r="B59" s="31">
        <v>20</v>
      </c>
      <c r="C59" s="276" t="s">
        <v>376</v>
      </c>
      <c r="D59" s="275"/>
      <c r="E59" s="275"/>
      <c r="F59" s="275"/>
    </row>
    <row r="61" spans="1:6" ht="15" x14ac:dyDescent="0.25">
      <c r="A61" s="26" t="s">
        <v>377</v>
      </c>
      <c r="B61" s="27"/>
      <c r="C61" s="1"/>
      <c r="D61" s="1"/>
      <c r="E61" s="1"/>
      <c r="F61" s="1"/>
    </row>
    <row r="62" spans="1:6" x14ac:dyDescent="0.2">
      <c r="A62" s="1"/>
      <c r="B62" s="27"/>
      <c r="C62" s="1"/>
      <c r="D62" s="1"/>
      <c r="E62" s="1"/>
      <c r="F62" s="1"/>
    </row>
    <row r="63" spans="1:6" ht="15" customHeight="1" x14ac:dyDescent="0.2">
      <c r="A63" s="39" t="s">
        <v>364</v>
      </c>
      <c r="B63" s="277" t="s">
        <v>282</v>
      </c>
      <c r="C63" s="277"/>
      <c r="D63" s="277"/>
      <c r="E63" s="277"/>
      <c r="F63" s="277"/>
    </row>
    <row r="64" spans="1:6" x14ac:dyDescent="0.2">
      <c r="A64" s="31" t="s">
        <v>366</v>
      </c>
      <c r="B64" s="271" t="s">
        <v>378</v>
      </c>
      <c r="C64" s="271"/>
      <c r="D64" s="271"/>
      <c r="E64" s="271"/>
      <c r="F64" s="271"/>
    </row>
    <row r="65" spans="1:6" x14ac:dyDescent="0.2">
      <c r="A65" s="31" t="s">
        <v>369</v>
      </c>
      <c r="B65" s="271" t="s">
        <v>379</v>
      </c>
      <c r="C65" s="271"/>
      <c r="D65" s="271"/>
      <c r="E65" s="271"/>
      <c r="F65" s="271"/>
    </row>
    <row r="66" spans="1:6" x14ac:dyDescent="0.2">
      <c r="A66" s="31" t="s">
        <v>372</v>
      </c>
      <c r="B66" s="271" t="s">
        <v>380</v>
      </c>
      <c r="C66" s="271"/>
      <c r="D66" s="271"/>
      <c r="E66" s="271"/>
      <c r="F66" s="271"/>
    </row>
    <row r="67" spans="1:6" x14ac:dyDescent="0.2">
      <c r="A67" s="31" t="s">
        <v>375</v>
      </c>
      <c r="B67" s="271" t="s">
        <v>380</v>
      </c>
      <c r="C67" s="271"/>
      <c r="D67" s="271"/>
      <c r="E67" s="271"/>
      <c r="F67" s="271"/>
    </row>
  </sheetData>
  <mergeCells count="43">
    <mergeCell ref="C4:F4"/>
    <mergeCell ref="C5:F5"/>
    <mergeCell ref="C6:F6"/>
    <mergeCell ref="C7:F7"/>
    <mergeCell ref="C8:F8"/>
    <mergeCell ref="C12:F12"/>
    <mergeCell ref="C13:F13"/>
    <mergeCell ref="C14:F14"/>
    <mergeCell ref="C15:F15"/>
    <mergeCell ref="C16:F16"/>
    <mergeCell ref="A20:B21"/>
    <mergeCell ref="C20:F20"/>
    <mergeCell ref="A22:A24"/>
    <mergeCell ref="C28:F28"/>
    <mergeCell ref="C29:F29"/>
    <mergeCell ref="C30:F30"/>
    <mergeCell ref="C31:F31"/>
    <mergeCell ref="C32:F32"/>
    <mergeCell ref="C36:F36"/>
    <mergeCell ref="C37:F37"/>
    <mergeCell ref="C38:F38"/>
    <mergeCell ref="C39:F39"/>
    <mergeCell ref="C40:F40"/>
    <mergeCell ref="A44:B45"/>
    <mergeCell ref="C44:F44"/>
    <mergeCell ref="A46:A51"/>
    <mergeCell ref="B47:B48"/>
    <mergeCell ref="C47:C48"/>
    <mergeCell ref="D47:D48"/>
    <mergeCell ref="E47:E48"/>
    <mergeCell ref="B50:B51"/>
    <mergeCell ref="C50:C51"/>
    <mergeCell ref="E50:E51"/>
    <mergeCell ref="B64:F64"/>
    <mergeCell ref="B65:F65"/>
    <mergeCell ref="B66:F66"/>
    <mergeCell ref="B67:F67"/>
    <mergeCell ref="C55:F55"/>
    <mergeCell ref="C56:F56"/>
    <mergeCell ref="C57:F57"/>
    <mergeCell ref="C58:F58"/>
    <mergeCell ref="C59:F59"/>
    <mergeCell ref="B63:F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ADMINISTRACIÓN</vt:lpstr>
      <vt:lpstr>SERVICIOS GENERALES</vt:lpstr>
      <vt:lpstr>OPERACIONES</vt:lpstr>
      <vt:lpstr>SEGURIDAD</vt:lpstr>
      <vt:lpstr>PARQUEADERO</vt:lpstr>
      <vt:lpstr>TABLA DE PELIGROS</vt:lpstr>
      <vt:lpstr>METODOLOGÍA</vt:lpstr>
      <vt:lpstr>PARQUEADERO!Área_de_impresión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SleekBook</dc:creator>
  <cp:lastModifiedBy>Eleyson Augusto Segura Anacona</cp:lastModifiedBy>
  <dcterms:created xsi:type="dcterms:W3CDTF">2017-01-31T02:21:23Z</dcterms:created>
  <dcterms:modified xsi:type="dcterms:W3CDTF">2025-03-06T21:51:27Z</dcterms:modified>
</cp:coreProperties>
</file>